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uoeamonnoble/Desktop/UDT Case Comp Pure premium rates /"/>
    </mc:Choice>
  </mc:AlternateContent>
  <xr:revisionPtr revIDLastSave="0" documentId="13_ncr:1_{3AEF4962-94C9-A849-8C61-9743CBD5ADB5}" xr6:coauthVersionLast="47" xr6:coauthVersionMax="47" xr10:uidLastSave="{00000000-0000-0000-0000-000000000000}"/>
  <bookViews>
    <workbookView xWindow="0" yWindow="660" windowWidth="29400" windowHeight="18460" xr2:uid="{F7F8354B-009B-B348-9B4A-FB151E534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1" l="1"/>
  <c r="B66" i="1"/>
  <c r="B67" i="1"/>
  <c r="B68" i="1"/>
  <c r="B69" i="1"/>
  <c r="B70" i="1"/>
  <c r="B71" i="1"/>
  <c r="B72" i="1"/>
  <c r="B73" i="1"/>
  <c r="B74" i="1"/>
  <c r="B75" i="1"/>
  <c r="A65" i="1"/>
  <c r="A66" i="1"/>
  <c r="A67" i="1"/>
  <c r="A68" i="1"/>
  <c r="A69" i="1"/>
  <c r="A70" i="1"/>
  <c r="A71" i="1"/>
  <c r="A72" i="1"/>
  <c r="A73" i="1"/>
  <c r="A74" i="1"/>
  <c r="A75" i="1"/>
  <c r="A64" i="1"/>
  <c r="C75" i="1"/>
  <c r="D75" i="1"/>
  <c r="E75" i="1"/>
  <c r="C73" i="1"/>
  <c r="D73" i="1"/>
  <c r="E73" i="1"/>
  <c r="C74" i="1"/>
  <c r="D74" i="1"/>
  <c r="E7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D64" i="1"/>
  <c r="C64" i="1"/>
  <c r="B64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G57" i="1" s="1"/>
  <c r="D58" i="1"/>
  <c r="G58" i="1" s="1"/>
  <c r="E58" i="1"/>
  <c r="F58" i="1"/>
  <c r="D59" i="1"/>
  <c r="E59" i="1"/>
  <c r="F59" i="1"/>
  <c r="F48" i="1"/>
  <c r="E48" i="1"/>
  <c r="D48" i="1"/>
  <c r="C59" i="1"/>
  <c r="G59" i="1" s="1"/>
  <c r="H59" i="1" s="1"/>
  <c r="C58" i="1"/>
  <c r="C57" i="1"/>
  <c r="B59" i="1"/>
  <c r="B58" i="1"/>
  <c r="B57" i="1"/>
  <c r="C56" i="1"/>
  <c r="G56" i="1" s="1"/>
  <c r="C55" i="1"/>
  <c r="G55" i="1" s="1"/>
  <c r="H55" i="1" s="1"/>
  <c r="C54" i="1"/>
  <c r="B56" i="1"/>
  <c r="B55" i="1"/>
  <c r="B54" i="1"/>
  <c r="B53" i="1"/>
  <c r="B52" i="1"/>
  <c r="C52" i="1"/>
  <c r="G52" i="1" s="1"/>
  <c r="C51" i="1"/>
  <c r="G51" i="1" s="1"/>
  <c r="H51" i="1" s="1"/>
  <c r="B51" i="1"/>
  <c r="C50" i="1"/>
  <c r="B50" i="1"/>
  <c r="C49" i="1"/>
  <c r="B49" i="1"/>
  <c r="C48" i="1"/>
  <c r="G48" i="1" s="1"/>
  <c r="B48" i="1"/>
  <c r="I35" i="1"/>
  <c r="H35" i="1"/>
  <c r="D35" i="1"/>
  <c r="C35" i="1"/>
  <c r="J34" i="1"/>
  <c r="E34" i="1"/>
  <c r="J33" i="1"/>
  <c r="E33" i="1"/>
  <c r="J32" i="1"/>
  <c r="E32" i="1"/>
  <c r="E24" i="1"/>
  <c r="I26" i="1"/>
  <c r="H26" i="1"/>
  <c r="D26" i="1"/>
  <c r="C26" i="1"/>
  <c r="J25" i="1"/>
  <c r="E25" i="1"/>
  <c r="J24" i="1"/>
  <c r="J23" i="1"/>
  <c r="E23" i="1"/>
  <c r="I17" i="1"/>
  <c r="C53" i="1" s="1"/>
  <c r="G53" i="1" s="1"/>
  <c r="H17" i="1"/>
  <c r="D17" i="1"/>
  <c r="C17" i="1"/>
  <c r="J16" i="1"/>
  <c r="E16" i="1"/>
  <c r="J15" i="1"/>
  <c r="E15" i="1"/>
  <c r="J14" i="1"/>
  <c r="E14" i="1"/>
  <c r="J5" i="1"/>
  <c r="I8" i="1"/>
  <c r="H8" i="1"/>
  <c r="J7" i="1"/>
  <c r="J6" i="1"/>
  <c r="E5" i="1"/>
  <c r="E6" i="1"/>
  <c r="E7" i="1"/>
  <c r="D8" i="1"/>
  <c r="C8" i="1"/>
  <c r="H56" i="1" l="1"/>
  <c r="I56" i="1"/>
  <c r="H53" i="1"/>
  <c r="I53" i="1"/>
  <c r="I57" i="1"/>
  <c r="H57" i="1"/>
  <c r="H52" i="1"/>
  <c r="I52" i="1"/>
  <c r="I48" i="1"/>
  <c r="H48" i="1"/>
  <c r="G54" i="1"/>
  <c r="G50" i="1"/>
  <c r="H50" i="1" s="1"/>
  <c r="G49" i="1"/>
  <c r="I49" i="1" s="1"/>
  <c r="H54" i="1"/>
  <c r="I54" i="1"/>
  <c r="I50" i="1"/>
  <c r="H58" i="1"/>
  <c r="I58" i="1"/>
  <c r="I59" i="1"/>
  <c r="I55" i="1"/>
  <c r="I51" i="1"/>
  <c r="E35" i="1"/>
  <c r="J35" i="1"/>
  <c r="E26" i="1"/>
  <c r="J26" i="1"/>
  <c r="E17" i="1"/>
  <c r="J17" i="1"/>
  <c r="J8" i="1"/>
  <c r="E8" i="1"/>
  <c r="H49" i="1" l="1"/>
</calcChain>
</file>

<file path=xl/sharedStrings.xml><?xml version="1.0" encoding="utf-8"?>
<sst xmlns="http://schemas.openxmlformats.org/spreadsheetml/2006/main" count="87" uniqueCount="31">
  <si>
    <t>Personal Property</t>
  </si>
  <si>
    <t>Additional Living Expenses</t>
  </si>
  <si>
    <t>Liability Protection</t>
  </si>
  <si>
    <t>Guest Medical Protection</t>
  </si>
  <si>
    <t>Full Model</t>
  </si>
  <si>
    <t>Observed</t>
  </si>
  <si>
    <t>Fitted</t>
  </si>
  <si>
    <t>Absolute Difference</t>
  </si>
  <si>
    <t>Reduced Model</t>
  </si>
  <si>
    <t>Risk Tier</t>
  </si>
  <si>
    <t>AVG.</t>
  </si>
  <si>
    <t>Expense and Profit Assumptions</t>
  </si>
  <si>
    <t>Assumption</t>
  </si>
  <si>
    <t>Value</t>
  </si>
  <si>
    <t>Base Variable Expense Ratio</t>
  </si>
  <si>
    <t>Low Expense Case</t>
  </si>
  <si>
    <t>High Expense Case</t>
  </si>
  <si>
    <t>Profit &amp; Contingency</t>
  </si>
  <si>
    <t>Fixed Expense Per Policy</t>
  </si>
  <si>
    <t>Coverage</t>
  </si>
  <si>
    <t xml:space="preserve">Pure Premium </t>
  </si>
  <si>
    <t xml:space="preserve">Fixed Expense </t>
  </si>
  <si>
    <t>Profit and Contigency $</t>
  </si>
  <si>
    <t>Variable Expense $</t>
  </si>
  <si>
    <t>Variable Expense %</t>
  </si>
  <si>
    <t>Profit and Contingency %</t>
  </si>
  <si>
    <t>Calculated Gross Premium</t>
  </si>
  <si>
    <t>Sensitivity Anallysis For Different Expense %</t>
  </si>
  <si>
    <t>25% Expense</t>
  </si>
  <si>
    <t xml:space="preserve">30% Expense </t>
  </si>
  <si>
    <t>35%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</si>
</sst>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3" tint="0.499984740745262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4" fontId="2" fillId="2" borderId="0" xfId="0" applyNumberFormat="1" applyFont="1" applyFill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10" fontId="0" fillId="0" borderId="0" xfId="0" applyNumberFormat="1"/>
    <xf numFmtId="0" fontId="6" fillId="0" borderId="0" xfId="0" applyFont="1"/>
    <xf numFmtId="0" fontId="3" fillId="0" borderId="0" xfId="0" applyFont="1" applyAlignment="1"/>
  </cellXfs>
  <cellStyles count="1">
    <cellStyle name="Normal" xfId="0" builtinId="0"/>
  </cellStyles>
  <dxfs count="67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3376E-95A9-2E4A-8EAB-6E4634329F4D}" name="Table1" displayName="Table1" ref="B4:E8" totalsRowCount="1">
  <autoFilter ref="B4:E7" xr:uid="{D4F3376E-95A9-2E4A-8EAB-6E4634329F4D}"/>
  <tableColumns count="4">
    <tableColumn id="7" xr3:uid="{8918DF95-7C4A-BD41-A5FF-85345C77FC9E}" name="Risk Tier" totalsRowLabel="AVG." dataDxfId="66"/>
    <tableColumn id="1" xr3:uid="{20E4B2A5-5E98-874B-BBF5-78E2BF4D12EC}" name="Observed" totalsRowFunction="custom" dataDxfId="65" totalsRowDxfId="64">
      <totalsRowFormula>SUBTOTAL(1,Table1[Observed] )</totalsRowFormula>
    </tableColumn>
    <tableColumn id="2" xr3:uid="{C30DF179-960E-3146-930C-9312F4D27F3B}" name="Fitted" totalsRowFunction="custom" dataDxfId="63" totalsRowDxfId="62">
      <totalsRowFormula>SUBTOTAL(1, Table1[Fitted])</totalsRowFormula>
    </tableColumn>
    <tableColumn id="3" xr3:uid="{A1053E5A-AEFD-9A43-8AF8-546C5748FC53}" name="Absolute Difference" totalsRowFunction="custom" dataDxfId="61" totalsRowDxfId="60">
      <calculatedColumnFormula>ABS(Table1[[#This Row],[Observed]]-Table1[[#This Row],[Fitted]])</calculatedColumnFormula>
      <totalsRowFormula>SUBTOTAL(1, Table1[Absolute Difference])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0E3987-AA70-DB44-ADDB-934538A07F05}" name="Table13" displayName="Table13" ref="G4:J8" totalsRowCount="1">
  <autoFilter ref="G4:J7" xr:uid="{910E3987-AA70-DB44-ADDB-934538A07F05}"/>
  <tableColumns count="4">
    <tableColumn id="4" xr3:uid="{83712F53-0FC4-9541-8347-965887B62514}" name="Risk Tier" totalsRowLabel="AVG." dataDxfId="59"/>
    <tableColumn id="1" xr3:uid="{057207C4-5D28-6246-8217-DDFF3EA7336D}" name="Observed" totalsRowFunction="custom" dataDxfId="58" totalsRowDxfId="57">
      <totalsRowFormula>SUBTOTAL(1,Table13[Observed] )</totalsRowFormula>
    </tableColumn>
    <tableColumn id="2" xr3:uid="{6036E869-A94E-2C4B-9F3E-EDC498F1CF85}" name="Fitted" totalsRowFunction="custom" dataDxfId="56" totalsRowDxfId="55">
      <totalsRowFormula>SUBTOTAL(1, Table13[Fitted])</totalsRowFormula>
    </tableColumn>
    <tableColumn id="3" xr3:uid="{18AB0BAF-F3D8-ED47-8544-D751627AFED9}" name="Absolute Difference" totalsRowFunction="custom" dataDxfId="54" totalsRowDxfId="53">
      <calculatedColumnFormula>ABS(Table13[[#This Row],[Observed]]-Table13[[#This Row],[Fitted]])</calculatedColumnFormula>
      <totalsRowFormula>SUBTOTAL(1, Table13[Absolute Difference])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40DD6-8D3F-4C41-B6C2-EB01A7D9CF95}" name="Table14" displayName="Table14" ref="B13:E17" totalsRowCount="1">
  <autoFilter ref="B13:E16" xr:uid="{46740DD6-8D3F-4C41-B6C2-EB01A7D9CF95}"/>
  <tableColumns count="4">
    <tableColumn id="4" xr3:uid="{607CE2A9-8871-A144-9CAE-C3248A68B0B8}" name="Risk Tier" totalsRowLabel="AVG." dataDxfId="52"/>
    <tableColumn id="1" xr3:uid="{6E81F88E-C5EA-984F-86A9-83D03CCECDFB}" name="Observed" totalsRowFunction="custom" dataDxfId="51" totalsRowDxfId="50">
      <totalsRowFormula>SUBTOTAL(1,Table14[Observed] )</totalsRowFormula>
    </tableColumn>
    <tableColumn id="2" xr3:uid="{511FC660-D43C-E148-B25A-0D488F067D0C}" name="Fitted" totalsRowFunction="custom" dataDxfId="49" totalsRowDxfId="48">
      <totalsRowFormula>SUBTOTAL(1, Table14[Fitted])</totalsRowFormula>
    </tableColumn>
    <tableColumn id="3" xr3:uid="{67E1AF87-FA35-B642-A7F4-F969FDE2778F}" name="Absolute Difference" totalsRowFunction="custom" dataDxfId="47" totalsRowDxfId="46">
      <calculatedColumnFormula>ABS(Table14[[#This Row],[Observed]]-Table14[[#This Row],[Fitted]])</calculatedColumnFormula>
      <totalsRowFormula>SUBTOTAL(1, Table14[Absolute Difference])</totalsRow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FC5045-E28C-854F-956C-78108BB54259}" name="Table135" displayName="Table135" ref="G13:J17" totalsRowCount="1">
  <autoFilter ref="G13:J16" xr:uid="{F4FC5045-E28C-854F-956C-78108BB54259}"/>
  <tableColumns count="4">
    <tableColumn id="4" xr3:uid="{9716A5F7-34CF-7044-8EA9-976BF7B4AF3E}" name="Risk Tier" totalsRowLabel="AVG." dataDxfId="45"/>
    <tableColumn id="1" xr3:uid="{0DC6EE4F-97B4-DB41-ABA3-D37D4C552733}" name="Observed" totalsRowFunction="custom" dataDxfId="44" totalsRowDxfId="43">
      <totalsRowFormula>SUBTOTAL(1,Table135[Observed] )</totalsRowFormula>
    </tableColumn>
    <tableColumn id="2" xr3:uid="{293F59A2-CD66-6E46-A2E6-882BA885A121}" name="Fitted" totalsRowFunction="custom" dataDxfId="42" totalsRowDxfId="41">
      <totalsRowFormula>SUBTOTAL(1, Table135[Fitted])</totalsRowFormula>
    </tableColumn>
    <tableColumn id="3" xr3:uid="{28CF6BDB-BFA5-7348-9164-72744C12996E}" name="Absolute Difference" totalsRowFunction="custom" dataDxfId="40" totalsRowDxfId="39">
      <calculatedColumnFormula>ABS(Table135[[#This Row],[Observed]]-Table135[[#This Row],[Fitted]])</calculatedColumnFormula>
      <totalsRowFormula>SUBTOTAL(1, Table135[Absolute Difference])</totalsRow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19D37E-B4F4-9F4A-9D2C-15A7CBC1976B}" name="Table146" displayName="Table146" ref="B22:E26" totalsRowCount="1">
  <autoFilter ref="B22:E25" xr:uid="{CF19D37E-B4F4-9F4A-9D2C-15A7CBC1976B}"/>
  <tableColumns count="4">
    <tableColumn id="4" xr3:uid="{B7AD1E64-8E3B-BA4A-9091-CBEBB9EF8BC7}" name="Risk Tier" totalsRowLabel="AVG." dataDxfId="38"/>
    <tableColumn id="1" xr3:uid="{83B2B00C-91EB-D54F-86B5-9E0BEE2CF4ED}" name="Observed" totalsRowFunction="custom" dataDxfId="37" totalsRowDxfId="36">
      <totalsRowFormula>SUBTOTAL(1,Table146[Observed] )</totalsRowFormula>
    </tableColumn>
    <tableColumn id="2" xr3:uid="{E15A4E32-7F86-314E-8A88-7368A7BD5FD5}" name="Fitted" totalsRowFunction="custom" dataDxfId="35" totalsRowDxfId="34">
      <totalsRowFormula>SUBTOTAL(1, Table146[Fitted])</totalsRowFormula>
    </tableColumn>
    <tableColumn id="3" xr3:uid="{A81F8271-B94A-D243-9ED7-75FE33998F1A}" name="Absolute Difference" totalsRowFunction="custom" dataDxfId="33" totalsRowDxfId="32">
      <calculatedColumnFormula>ABS(Table146[[#This Row],[Observed]]-Table146[[#This Row],[Fitted]])</calculatedColumnFormula>
      <totalsRowFormula>SUBTOTAL(1, Table146[Absolute Difference])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548A50-2E30-1F41-801D-73AA90CC1214}" name="Table1357" displayName="Table1357" ref="G22:J26" totalsRowCount="1">
  <autoFilter ref="G22:J25" xr:uid="{8E548A50-2E30-1F41-801D-73AA90CC1214}"/>
  <tableColumns count="4">
    <tableColumn id="4" xr3:uid="{3676CE37-F7C5-6544-B2E1-AD6F7E521928}" name="Risk Tier" totalsRowLabel="AVG." dataDxfId="31"/>
    <tableColumn id="1" xr3:uid="{0B5C8307-12B6-7141-B717-BA9D21076B27}" name="Observed" totalsRowFunction="custom" dataDxfId="30" totalsRowDxfId="29">
      <totalsRowFormula>SUBTOTAL(1,Table1357[Observed] )</totalsRowFormula>
    </tableColumn>
    <tableColumn id="2" xr3:uid="{DE7E9AF5-BF89-9C49-8D7C-F3E5F4225E72}" name="Fitted" totalsRowFunction="custom" dataDxfId="28" totalsRowDxfId="27">
      <totalsRowFormula>SUBTOTAL(1, Table1357[Fitted])</totalsRowFormula>
    </tableColumn>
    <tableColumn id="3" xr3:uid="{EA1ADE84-28FD-9246-9331-41A77FA34A99}" name="Absolute Difference" totalsRowFunction="custom" dataDxfId="26" totalsRowDxfId="25">
      <calculatedColumnFormula>ABS(Table1357[[#This Row],[Observed]]-Table1357[[#This Row],[Fitted]])</calculatedColumnFormula>
      <totalsRowFormula>SUBTOTAL(1, Table1357[Absolute Difference])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368929-C7D0-2948-A26F-DEB45C25689D}" name="Table1468" displayName="Table1468" ref="B31:E35" totalsRowCount="1">
  <autoFilter ref="B31:E34" xr:uid="{65368929-C7D0-2948-A26F-DEB45C25689D}"/>
  <tableColumns count="4">
    <tableColumn id="4" xr3:uid="{4885230C-565A-C04D-9587-4FD90CEA2E29}" name="Risk Tier" totalsRowLabel="AVG." dataDxfId="24"/>
    <tableColumn id="1" xr3:uid="{ED04F1D2-3D0E-3E45-BB87-9CF5046E5EEC}" name="Observed" totalsRowFunction="custom" dataDxfId="23" totalsRowDxfId="22">
      <totalsRowFormula>SUBTOTAL(1,Table1468[Observed] )</totalsRowFormula>
    </tableColumn>
    <tableColumn id="2" xr3:uid="{9B13236D-C75D-8C4D-AE10-D4400932D993}" name="Fitted" totalsRowFunction="custom" dataDxfId="21" totalsRowDxfId="20">
      <totalsRowFormula>SUBTOTAL(1, Table1468[Fitted])</totalsRowFormula>
    </tableColumn>
    <tableColumn id="3" xr3:uid="{C657DFCB-04FF-0C4E-94C6-80554CDC767B}" name="Absolute Difference" totalsRowFunction="custom" dataDxfId="19" totalsRowDxfId="18">
      <calculatedColumnFormula>ABS(Table1468[[#This Row],[Observed]]-Table1468[[#This Row],[Fitted]])</calculatedColumnFormula>
      <totalsRowFormula>SUBTOTAL(1, Table1468[Absolute Difference])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D2530D-7FCF-5D4E-A2C7-81344DD26C03}" name="Table13579" displayName="Table13579" ref="G31:J35" totalsRowCount="1">
  <autoFilter ref="G31:J34" xr:uid="{DCD2530D-7FCF-5D4E-A2C7-81344DD26C03}"/>
  <tableColumns count="4">
    <tableColumn id="4" xr3:uid="{A7F2CDEB-96C0-FB4A-B026-DF16E8F407A6}" name="Risk Tier" totalsRowLabel="AVG." dataDxfId="17"/>
    <tableColumn id="1" xr3:uid="{85D0452F-EF62-894D-B7FE-2F5B8094F492}" name="Observed" totalsRowFunction="custom" totalsRowDxfId="16">
      <totalsRowFormula>SUBTOTAL(1,Table13579[Observed] )</totalsRowFormula>
    </tableColumn>
    <tableColumn id="2" xr3:uid="{0E77611A-8825-C545-B8BA-AE93DE82A226}" name="Fitted" totalsRowFunction="custom" dataDxfId="15" totalsRowDxfId="14">
      <totalsRowFormula>SUBTOTAL(1, Table13579[Fitted])</totalsRowFormula>
    </tableColumn>
    <tableColumn id="3" xr3:uid="{1D2EB09C-A83F-5849-935C-00EC73D30C1C}" name="Absolute Difference" totalsRowFunction="custom" dataDxfId="13" totalsRowDxfId="12">
      <calculatedColumnFormula>ABS(Table13579[[#This Row],[Observed]]-Table13579[[#This Row],[Fitted]])</calculatedColumnFormula>
      <totalsRowFormula>SUBTOTAL(1, Table13579[Absolute Difference])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202A76-6735-2F42-ACB3-A6283EEF0713}" name="Table9" displayName="Table9" ref="B39:C44" totalsRowShown="0">
  <tableColumns count="2">
    <tableColumn id="1" xr3:uid="{3DE73153-6409-8B40-9A59-A9FAE99EE8D8}" name="Assumption"/>
    <tableColumn id="2" xr3:uid="{1E4E5C47-4F94-B74D-A567-DA21C89E8824}" name="Value" dataDxfId="1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0745E1-EE26-B44A-B4F7-CE5B08A6DEB8}" name="Table10" displayName="Table10" ref="A47:I59" totalsRowShown="0" headerRowDxfId="3">
  <autoFilter ref="A47:I59" xr:uid="{0C0745E1-EE26-B44A-B4F7-CE5B08A6DEB8}"/>
  <tableColumns count="9">
    <tableColumn id="1" xr3:uid="{6FE62D5D-743F-6045-904C-FCA81B4582F3}" name="Coverage"/>
    <tableColumn id="2" xr3:uid="{55167134-8067-BD41-A674-DAE5546C6878}" name="Risk Tier"/>
    <tableColumn id="3" xr3:uid="{A19B608F-48C3-344B-A6DA-0E5DE847B10C}" name="Pure Premium " dataDxfId="10"/>
    <tableColumn id="4" xr3:uid="{97ED5E4F-8CE1-B945-8530-5BD596346A27}" name="Fixed Expense " dataDxfId="9">
      <calculatedColumnFormula>$C$44</calculatedColumnFormula>
    </tableColumn>
    <tableColumn id="5" xr3:uid="{359992BF-E0D0-1142-B0F9-93DC1CE55142}" name="Variable Expense %" dataDxfId="8">
      <calculatedColumnFormula>$C$40</calculatedColumnFormula>
    </tableColumn>
    <tableColumn id="6" xr3:uid="{00884097-3CCC-494C-BB78-990EDEC8C987}" name="Profit and Contingency %" dataDxfId="7">
      <calculatedColumnFormula>$C$43</calculatedColumnFormula>
    </tableColumn>
    <tableColumn id="7" xr3:uid="{DD97376C-E5B0-BC4F-806B-FC419502EA94}" name="Calculated Gross Premium" dataDxfId="6">
      <calculatedColumnFormula>(C48+D48)/(1-E48-F48)</calculatedColumnFormula>
    </tableColumn>
    <tableColumn id="8" xr3:uid="{96FD6BCC-34D2-894F-ADE1-C96B03B25D6D}" name="Variable Expense $" dataDxfId="5">
      <calculatedColumnFormula>G48*E48</calculatedColumnFormula>
    </tableColumn>
    <tableColumn id="9" xr3:uid="{160CB168-76B5-5C4C-970E-15211A25735B}" name="Profit and Contigency $" dataDxfId="4">
      <calculatedColumnFormula>G48*F48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3494D3-DDA5-7842-BF0F-48B3F28488BE}" name="Table11" displayName="Table11" ref="A63:E75" totalsRowShown="0">
  <autoFilter ref="A63:E75" xr:uid="{033494D3-DDA5-7842-BF0F-48B3F28488BE}"/>
  <tableColumns count="5">
    <tableColumn id="1" xr3:uid="{4FA85801-C71E-284D-81FA-B5DEA798AED6}" name="Coverage">
      <calculatedColumnFormula>A48</calculatedColumnFormula>
    </tableColumn>
    <tableColumn id="2" xr3:uid="{FBD162EA-0264-9B49-AEF5-E5B6728B36AC}" name="Risk Tier">
      <calculatedColumnFormula>B48</calculatedColumnFormula>
    </tableColumn>
    <tableColumn id="3" xr3:uid="{CF2F717C-B478-CF41-B8F3-C28D21541746}" name="25% Expense" dataDxfId="2">
      <calculatedColumnFormula>(C48+$C$44)/(1-$C$41-$C$43)</calculatedColumnFormula>
    </tableColumn>
    <tableColumn id="4" xr3:uid="{6563BA41-247A-504A-8EB8-604A2B19C1CA}" name="30% Expense " dataDxfId="1">
      <calculatedColumnFormula>(C48+$C$44)/(1-$C$40-$C$43)</calculatedColumnFormula>
    </tableColumn>
    <tableColumn id="5" xr3:uid="{5BAA57EC-536C-5C44-88CF-2AFC57EA46B8}" name="35% Expense" dataDxfId="0">
      <calculatedColumnFormula>(C48+$C$44)/(1-$C$42-$C$43)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550D-5AD1-2D48-8A2A-F3BB1CE866C4}">
  <dimension ref="A2:J75"/>
  <sheetViews>
    <sheetView tabSelected="1" topLeftCell="A43" workbookViewId="0">
      <selection activeCell="H80" sqref="H80"/>
    </sheetView>
  </sheetViews>
  <sheetFormatPr baseColWidth="10" defaultColWidth="12" defaultRowHeight="18" customHeight="1" x14ac:dyDescent="0.2"/>
  <cols>
    <col min="1" max="1" width="22.83203125" customWidth="1"/>
    <col min="2" max="2" width="25.1640625" customWidth="1"/>
    <col min="3" max="3" width="19.33203125" customWidth="1"/>
    <col min="4" max="4" width="20.33203125" bestFit="1" customWidth="1"/>
    <col min="5" max="5" width="20.33203125" customWidth="1"/>
    <col min="6" max="6" width="24" customWidth="1"/>
    <col min="7" max="7" width="25.5" customWidth="1"/>
    <col min="8" max="8" width="19.33203125" customWidth="1"/>
    <col min="9" max="9" width="22.5" customWidth="1"/>
    <col min="10" max="10" width="20.33203125" bestFit="1" customWidth="1"/>
  </cols>
  <sheetData>
    <row r="2" spans="1:10" ht="18" customHeight="1" x14ac:dyDescent="0.25">
      <c r="A2" s="5" t="s">
        <v>0</v>
      </c>
    </row>
    <row r="3" spans="1:10" ht="18" customHeight="1" x14ac:dyDescent="0.2">
      <c r="B3" s="6" t="s">
        <v>4</v>
      </c>
      <c r="G3" s="7" t="s">
        <v>8</v>
      </c>
    </row>
    <row r="4" spans="1:10" ht="18" customHeight="1" x14ac:dyDescent="0.2">
      <c r="B4" t="s">
        <v>9</v>
      </c>
      <c r="C4" t="s">
        <v>5</v>
      </c>
      <c r="D4" t="s">
        <v>6</v>
      </c>
      <c r="E4" t="s">
        <v>7</v>
      </c>
      <c r="G4" t="s">
        <v>9</v>
      </c>
      <c r="H4" t="s">
        <v>5</v>
      </c>
      <c r="I4" t="s">
        <v>6</v>
      </c>
      <c r="J4" t="s">
        <v>7</v>
      </c>
    </row>
    <row r="5" spans="1:10" ht="18" customHeight="1" x14ac:dyDescent="0.2">
      <c r="B5" s="2">
        <v>1</v>
      </c>
      <c r="C5" s="1">
        <v>77.152100000000004</v>
      </c>
      <c r="D5" s="1">
        <v>99.974900000000005</v>
      </c>
      <c r="E5" s="1">
        <f>ABS(Table1[[#This Row],[Observed]]-Table1[[#This Row],[Fitted]])</f>
        <v>22.822800000000001</v>
      </c>
      <c r="G5" s="2">
        <v>1</v>
      </c>
      <c r="H5" s="1">
        <v>77.152100000000004</v>
      </c>
      <c r="I5" s="1">
        <v>99.714039999999997</v>
      </c>
      <c r="J5" s="1">
        <f>ABS(Table13[[#This Row],[Observed]]-Table13[[#This Row],[Fitted]])</f>
        <v>22.561939999999993</v>
      </c>
    </row>
    <row r="6" spans="1:10" ht="18" customHeight="1" x14ac:dyDescent="0.2">
      <c r="B6" s="2">
        <v>2</v>
      </c>
      <c r="C6" s="1">
        <v>97.43826</v>
      </c>
      <c r="D6" s="1">
        <v>123.1982</v>
      </c>
      <c r="E6" s="1">
        <f>ABS(Table1[[#This Row],[Observed]]-Table1[[#This Row],[Fitted]])</f>
        <v>25.75994</v>
      </c>
      <c r="G6" s="2">
        <v>2</v>
      </c>
      <c r="H6" s="1">
        <v>97.43826</v>
      </c>
      <c r="I6" s="1">
        <v>122.79734999999999</v>
      </c>
      <c r="J6" s="1">
        <f>ABS(Table13[[#This Row],[Observed]]-Table13[[#This Row],[Fitted]])</f>
        <v>25.359089999999995</v>
      </c>
    </row>
    <row r="7" spans="1:10" ht="18" customHeight="1" x14ac:dyDescent="0.2">
      <c r="B7" s="2">
        <v>3</v>
      </c>
      <c r="C7" s="1">
        <v>116.77245000000001</v>
      </c>
      <c r="D7" s="1">
        <v>102.5569</v>
      </c>
      <c r="E7" s="1">
        <f>ABS(Table1[[#This Row],[Observed]]-Table1[[#This Row],[Fitted]])</f>
        <v>14.215550000000007</v>
      </c>
      <c r="G7" s="2">
        <v>3</v>
      </c>
      <c r="H7" s="1">
        <v>116.77245000000001</v>
      </c>
      <c r="I7" s="1">
        <v>102.31882</v>
      </c>
      <c r="J7" s="1">
        <f>ABS(Table13[[#This Row],[Observed]]-Table13[[#This Row],[Fitted]])</f>
        <v>14.453630000000004</v>
      </c>
    </row>
    <row r="8" spans="1:10" ht="18" customHeight="1" x14ac:dyDescent="0.2">
      <c r="B8" t="s">
        <v>10</v>
      </c>
      <c r="C8" s="1">
        <f>SUBTOTAL(1,Table1[Observed] )</f>
        <v>97.12093666666668</v>
      </c>
      <c r="D8" s="1">
        <f>SUBTOTAL(1, Table1[Fitted])</f>
        <v>108.57666666666667</v>
      </c>
      <c r="E8" s="1">
        <f>SUBTOTAL(1, Table1[Absolute Difference])</f>
        <v>20.932763333333337</v>
      </c>
      <c r="G8" t="s">
        <v>10</v>
      </c>
      <c r="H8" s="1">
        <f>SUBTOTAL(1,Table13[Observed] )</f>
        <v>97.12093666666668</v>
      </c>
      <c r="I8" s="1">
        <f>SUBTOTAL(1, Table13[Fitted])</f>
        <v>108.27673666666668</v>
      </c>
      <c r="J8" s="1">
        <f>SUBTOTAL(1, Table13[Absolute Difference])</f>
        <v>20.791553333333329</v>
      </c>
    </row>
    <row r="11" spans="1:10" ht="18" customHeight="1" x14ac:dyDescent="0.25">
      <c r="A11" s="5" t="s">
        <v>1</v>
      </c>
    </row>
    <row r="12" spans="1:10" ht="18" customHeight="1" x14ac:dyDescent="0.2">
      <c r="B12" s="6" t="s">
        <v>4</v>
      </c>
      <c r="G12" s="7" t="s">
        <v>8</v>
      </c>
    </row>
    <row r="13" spans="1:10" ht="18" customHeight="1" x14ac:dyDescent="0.2">
      <c r="B13" t="s">
        <v>9</v>
      </c>
      <c r="C13" t="s">
        <v>5</v>
      </c>
      <c r="D13" t="s">
        <v>6</v>
      </c>
      <c r="E13" t="s">
        <v>7</v>
      </c>
      <c r="G13" t="s">
        <v>9</v>
      </c>
      <c r="H13" t="s">
        <v>5</v>
      </c>
      <c r="I13" t="s">
        <v>6</v>
      </c>
      <c r="J13" t="s">
        <v>7</v>
      </c>
    </row>
    <row r="14" spans="1:10" ht="18" customHeight="1" x14ac:dyDescent="0.2">
      <c r="B14" s="2">
        <v>1</v>
      </c>
      <c r="C14" s="1">
        <v>314.63380000000001</v>
      </c>
      <c r="D14" s="1">
        <v>255.1575</v>
      </c>
      <c r="E14" s="1">
        <f>ABS(Table14[[#This Row],[Observed]]-Table14[[#This Row],[Fitted]])</f>
        <v>59.476300000000009</v>
      </c>
      <c r="G14" s="2">
        <v>1</v>
      </c>
      <c r="H14" s="1">
        <v>314.63380000000001</v>
      </c>
      <c r="I14" s="1">
        <v>256.73</v>
      </c>
      <c r="J14" s="1">
        <f>ABS(Table135[[#This Row],[Observed]]-Table135[[#This Row],[Fitted]])</f>
        <v>57.90379999999999</v>
      </c>
    </row>
    <row r="15" spans="1:10" ht="18" customHeight="1" x14ac:dyDescent="0.2">
      <c r="B15" s="2">
        <v>2</v>
      </c>
      <c r="C15" s="1">
        <v>237.50729999999999</v>
      </c>
      <c r="D15" s="1">
        <v>342.42680000000001</v>
      </c>
      <c r="E15" s="1">
        <f>ABS(Table14[[#This Row],[Observed]]-Table14[[#This Row],[Fitted]])</f>
        <v>104.91950000000003</v>
      </c>
      <c r="G15" s="2">
        <v>2</v>
      </c>
      <c r="H15" s="1">
        <v>237.50729999999999</v>
      </c>
      <c r="I15" s="1">
        <v>340.58519999999999</v>
      </c>
      <c r="J15" s="1">
        <f>ABS(Table135[[#This Row],[Observed]]-Table135[[#This Row],[Fitted]])</f>
        <v>103.0779</v>
      </c>
    </row>
    <row r="16" spans="1:10" ht="18" customHeight="1" x14ac:dyDescent="0.2">
      <c r="B16" s="2">
        <v>3</v>
      </c>
      <c r="C16" s="1">
        <v>288.53570000000002</v>
      </c>
      <c r="D16" s="1">
        <v>357.40469999999999</v>
      </c>
      <c r="E16" s="1">
        <f>ABS(Table14[[#This Row],[Observed]]-Table14[[#This Row],[Fitted]])</f>
        <v>68.868999999999971</v>
      </c>
      <c r="G16" s="2">
        <v>3</v>
      </c>
      <c r="H16" s="1">
        <v>288.53570000000002</v>
      </c>
      <c r="I16" s="1">
        <v>358.49040000000002</v>
      </c>
      <c r="J16" s="1">
        <f>ABS(Table135[[#This Row],[Observed]]-Table135[[#This Row],[Fitted]])</f>
        <v>69.954700000000003</v>
      </c>
    </row>
    <row r="17" spans="1:10" ht="18" customHeight="1" x14ac:dyDescent="0.2">
      <c r="B17" t="s">
        <v>10</v>
      </c>
      <c r="C17" s="1">
        <f>SUBTOTAL(1,Table14[Observed] )</f>
        <v>280.22560000000004</v>
      </c>
      <c r="D17" s="1">
        <f>SUBTOTAL(1, Table14[Fitted])</f>
        <v>318.3296666666667</v>
      </c>
      <c r="E17" s="1">
        <f>SUBTOTAL(1, Table14[Absolute Difference])</f>
        <v>77.754933333333341</v>
      </c>
      <c r="G17" t="s">
        <v>10</v>
      </c>
      <c r="H17" s="1">
        <f>SUBTOTAL(1,Table135[Observed] )</f>
        <v>280.22560000000004</v>
      </c>
      <c r="I17" s="1">
        <f>SUBTOTAL(1, Table135[Fitted])</f>
        <v>318.60186666666669</v>
      </c>
      <c r="J17" s="1">
        <f>SUBTOTAL(1, Table135[Absolute Difference])</f>
        <v>76.978799999999993</v>
      </c>
    </row>
    <row r="18" spans="1:10" ht="18" customHeight="1" x14ac:dyDescent="0.2">
      <c r="B18" s="1"/>
      <c r="C18" s="1"/>
      <c r="D18" s="1"/>
      <c r="E18" s="1"/>
      <c r="F18" s="1"/>
      <c r="G18" s="1"/>
      <c r="H18" s="1"/>
    </row>
    <row r="19" spans="1:10" ht="18" customHeight="1" x14ac:dyDescent="0.2">
      <c r="B19" s="1"/>
      <c r="C19" s="1"/>
      <c r="D19" s="1"/>
      <c r="E19" s="1"/>
      <c r="F19" s="1"/>
      <c r="G19" s="1"/>
      <c r="H19" s="1"/>
    </row>
    <row r="20" spans="1:10" ht="18" customHeight="1" x14ac:dyDescent="0.25">
      <c r="A20" s="5" t="s">
        <v>2</v>
      </c>
    </row>
    <row r="21" spans="1:10" ht="18" customHeight="1" x14ac:dyDescent="0.2">
      <c r="B21" s="6" t="s">
        <v>4</v>
      </c>
      <c r="G21" s="7" t="s">
        <v>8</v>
      </c>
    </row>
    <row r="22" spans="1:10" ht="18" customHeight="1" x14ac:dyDescent="0.2">
      <c r="B22" t="s">
        <v>9</v>
      </c>
      <c r="C22" t="s">
        <v>5</v>
      </c>
      <c r="D22" t="s">
        <v>6</v>
      </c>
      <c r="E22" t="s">
        <v>7</v>
      </c>
      <c r="G22" t="s">
        <v>9</v>
      </c>
      <c r="H22" t="s">
        <v>5</v>
      </c>
      <c r="I22" t="s">
        <v>6</v>
      </c>
      <c r="J22" t="s">
        <v>7</v>
      </c>
    </row>
    <row r="23" spans="1:10" ht="18" customHeight="1" x14ac:dyDescent="0.2">
      <c r="B23" s="2">
        <v>1</v>
      </c>
      <c r="C23" s="1">
        <v>100.71044999999999</v>
      </c>
      <c r="D23" s="1">
        <v>67.586240000000004</v>
      </c>
      <c r="E23" s="1">
        <f>ABS(Table146[[#This Row],[Observed]]-Table146[[#This Row],[Fitted]])</f>
        <v>33.124209999999991</v>
      </c>
      <c r="G23" s="2">
        <v>1</v>
      </c>
      <c r="H23" s="1">
        <v>100.71044999999999</v>
      </c>
      <c r="I23" s="1">
        <v>67.504429999999999</v>
      </c>
      <c r="J23" s="1">
        <f>ABS(Table1357[[#This Row],[Observed]]-Table1357[[#This Row],[Fitted]])</f>
        <v>33.206019999999995</v>
      </c>
    </row>
    <row r="24" spans="1:10" ht="18" customHeight="1" x14ac:dyDescent="0.2">
      <c r="B24" s="2">
        <v>2</v>
      </c>
      <c r="C24" s="1">
        <v>111.63415999999999</v>
      </c>
      <c r="D24" s="1">
        <v>66.653720000000007</v>
      </c>
      <c r="E24" s="1">
        <f>ABS(Table146[[#This Row],[Observed]]-Table146[[#This Row],[Fitted]])</f>
        <v>44.980439999999987</v>
      </c>
      <c r="G24" s="2">
        <v>2</v>
      </c>
      <c r="H24" s="1">
        <v>111.63415999999999</v>
      </c>
      <c r="I24" s="1">
        <v>66.421409999999995</v>
      </c>
      <c r="J24" s="1">
        <f>ABS(Table1357[[#This Row],[Observed]]-Table1357[[#This Row],[Fitted]])</f>
        <v>45.21275</v>
      </c>
    </row>
    <row r="25" spans="1:10" ht="18" customHeight="1" x14ac:dyDescent="0.2">
      <c r="B25" s="2">
        <v>3</v>
      </c>
      <c r="C25" s="1">
        <v>77.959190000000007</v>
      </c>
      <c r="D25" s="1">
        <v>94.756749999999997</v>
      </c>
      <c r="E25" s="1">
        <f>ABS(Table146[[#This Row],[Observed]]-Table146[[#This Row],[Fitted]])</f>
        <v>16.79755999999999</v>
      </c>
      <c r="G25" s="2">
        <v>3</v>
      </c>
      <c r="H25" s="1">
        <v>77.959190000000007</v>
      </c>
      <c r="I25" s="1">
        <v>94.607439999999997</v>
      </c>
      <c r="J25" s="1">
        <f>ABS(Table1357[[#This Row],[Observed]]-Table1357[[#This Row],[Fitted]])</f>
        <v>16.64824999999999</v>
      </c>
    </row>
    <row r="26" spans="1:10" ht="18" customHeight="1" x14ac:dyDescent="0.2">
      <c r="B26" t="s">
        <v>10</v>
      </c>
      <c r="C26" s="1">
        <f>SUBTOTAL(1,Table146[Observed] )</f>
        <v>96.767933333333346</v>
      </c>
      <c r="D26" s="1">
        <f>SUBTOTAL(1, Table146[Fitted])</f>
        <v>76.332236666666674</v>
      </c>
      <c r="E26" s="1">
        <f>SUBTOTAL(1, Table146[Absolute Difference])</f>
        <v>31.634069999999991</v>
      </c>
      <c r="G26" t="s">
        <v>10</v>
      </c>
      <c r="H26" s="1">
        <f>SUBTOTAL(1,Table1357[Observed] )</f>
        <v>96.767933333333346</v>
      </c>
      <c r="I26" s="1">
        <f>SUBTOTAL(1, Table1357[Fitted])</f>
        <v>76.177759999999992</v>
      </c>
      <c r="J26" s="1">
        <f>SUBTOTAL(1, Table1357[Absolute Difference])</f>
        <v>31.689006666666661</v>
      </c>
    </row>
    <row r="29" spans="1:10" ht="18" customHeight="1" x14ac:dyDescent="0.25">
      <c r="A29" s="5" t="s">
        <v>3</v>
      </c>
    </row>
    <row r="30" spans="1:10" ht="18" customHeight="1" x14ac:dyDescent="0.2">
      <c r="B30" s="6" t="s">
        <v>4</v>
      </c>
      <c r="G30" s="7" t="s">
        <v>8</v>
      </c>
    </row>
    <row r="31" spans="1:10" ht="18" customHeight="1" x14ac:dyDescent="0.2">
      <c r="B31" t="s">
        <v>9</v>
      </c>
      <c r="C31" t="s">
        <v>5</v>
      </c>
      <c r="D31" t="s">
        <v>6</v>
      </c>
      <c r="E31" t="s">
        <v>7</v>
      </c>
      <c r="G31" t="s">
        <v>9</v>
      </c>
      <c r="H31" t="s">
        <v>5</v>
      </c>
      <c r="I31" t="s">
        <v>6</v>
      </c>
      <c r="J31" t="s">
        <v>7</v>
      </c>
    </row>
    <row r="32" spans="1:10" ht="18" customHeight="1" x14ac:dyDescent="0.2">
      <c r="B32" s="2">
        <v>1</v>
      </c>
      <c r="C32" s="1">
        <v>298.28820000000002</v>
      </c>
      <c r="D32" s="1">
        <v>360.02</v>
      </c>
      <c r="E32" s="1">
        <f>ABS(Table1468[[#This Row],[Observed]]-Table1468[[#This Row],[Fitted]])</f>
        <v>61.731799999999964</v>
      </c>
      <c r="G32" s="2">
        <v>1</v>
      </c>
      <c r="H32" s="3">
        <v>298.29000000000002</v>
      </c>
      <c r="I32" s="1">
        <v>356.45429999999999</v>
      </c>
      <c r="J32" s="1">
        <f>ABS(Table13579[[#This Row],[Observed]]-Table13579[[#This Row],[Fitted]])</f>
        <v>58.164299999999969</v>
      </c>
    </row>
    <row r="33" spans="1:10" ht="18" customHeight="1" x14ac:dyDescent="0.2">
      <c r="B33" s="2">
        <v>2</v>
      </c>
      <c r="C33" s="1">
        <v>346.7208</v>
      </c>
      <c r="D33" s="1">
        <v>532.67010000000005</v>
      </c>
      <c r="E33" s="1">
        <f>ABS(Table1468[[#This Row],[Observed]]-Table1468[[#This Row],[Fitted]])</f>
        <v>185.94930000000005</v>
      </c>
      <c r="G33" s="2">
        <v>2</v>
      </c>
      <c r="H33" s="4">
        <v>346.72</v>
      </c>
      <c r="I33" s="1">
        <v>522.15970000000004</v>
      </c>
      <c r="J33" s="1">
        <f>ABS(Table13579[[#This Row],[Observed]]-Table13579[[#This Row],[Fitted]])</f>
        <v>175.43970000000002</v>
      </c>
    </row>
    <row r="34" spans="1:10" ht="18" customHeight="1" x14ac:dyDescent="0.2">
      <c r="B34" s="2">
        <v>3</v>
      </c>
      <c r="C34" s="1">
        <v>398.03809999999999</v>
      </c>
      <c r="D34" s="1">
        <v>491.90620000000001</v>
      </c>
      <c r="E34" s="1">
        <f>ABS(Table1468[[#This Row],[Observed]]-Table1468[[#This Row],[Fitted]])</f>
        <v>93.868100000000027</v>
      </c>
      <c r="G34" s="2">
        <v>3</v>
      </c>
      <c r="H34" s="3">
        <v>398.04</v>
      </c>
      <c r="I34" s="1">
        <v>490.80950000000001</v>
      </c>
      <c r="J34" s="1">
        <f>ABS(Table13579[[#This Row],[Observed]]-Table13579[[#This Row],[Fitted]])</f>
        <v>92.769499999999994</v>
      </c>
    </row>
    <row r="35" spans="1:10" ht="18" customHeight="1" x14ac:dyDescent="0.2">
      <c r="B35" t="s">
        <v>10</v>
      </c>
      <c r="C35" s="1">
        <f>SUBTOTAL(1,Table1468[Observed] )</f>
        <v>347.68236666666667</v>
      </c>
      <c r="D35" s="1">
        <f>SUBTOTAL(1, Table1468[Fitted])</f>
        <v>461.53210000000007</v>
      </c>
      <c r="E35" s="1">
        <f>SUBTOTAL(1, Table1468[Absolute Difference])</f>
        <v>113.84973333333335</v>
      </c>
      <c r="G35" t="s">
        <v>10</v>
      </c>
      <c r="H35" s="1">
        <f>SUBTOTAL(1,Table13579[Observed] )</f>
        <v>347.68333333333334</v>
      </c>
      <c r="I35" s="1">
        <f>SUBTOTAL(1, Table13579[Fitted])</f>
        <v>456.47450000000003</v>
      </c>
      <c r="J35" s="1">
        <f>SUBTOTAL(1, Table13579[Absolute Difference])</f>
        <v>108.79116666666665</v>
      </c>
    </row>
    <row r="38" spans="1:10" ht="18" customHeight="1" x14ac:dyDescent="0.25">
      <c r="A38" s="9" t="s">
        <v>11</v>
      </c>
    </row>
    <row r="39" spans="1:10" ht="18" customHeight="1" x14ac:dyDescent="0.2">
      <c r="B39" s="8" t="s">
        <v>12</v>
      </c>
      <c r="C39" s="10" t="s">
        <v>13</v>
      </c>
    </row>
    <row r="40" spans="1:10" ht="18" customHeight="1" x14ac:dyDescent="0.2">
      <c r="B40" t="s">
        <v>14</v>
      </c>
      <c r="C40" s="11">
        <v>0.3</v>
      </c>
    </row>
    <row r="41" spans="1:10" ht="18" customHeight="1" x14ac:dyDescent="0.2">
      <c r="B41" t="s">
        <v>15</v>
      </c>
      <c r="C41" s="11">
        <v>0.25</v>
      </c>
    </row>
    <row r="42" spans="1:10" ht="18" customHeight="1" x14ac:dyDescent="0.2">
      <c r="B42" t="s">
        <v>16</v>
      </c>
      <c r="C42" s="11">
        <v>0.35</v>
      </c>
    </row>
    <row r="43" spans="1:10" ht="18" customHeight="1" x14ac:dyDescent="0.2">
      <c r="B43" t="s">
        <v>17</v>
      </c>
      <c r="C43" s="11">
        <v>0.05</v>
      </c>
    </row>
    <row r="44" spans="1:10" ht="18" customHeight="1" x14ac:dyDescent="0.2">
      <c r="B44" t="s">
        <v>18</v>
      </c>
      <c r="C44" s="1">
        <v>15</v>
      </c>
    </row>
    <row r="47" spans="1:10" ht="18" customHeight="1" x14ac:dyDescent="0.2">
      <c r="A47" s="8" t="s">
        <v>19</v>
      </c>
      <c r="B47" s="8" t="s">
        <v>9</v>
      </c>
      <c r="C47" s="8" t="s">
        <v>20</v>
      </c>
      <c r="D47" s="8" t="s">
        <v>21</v>
      </c>
      <c r="E47" s="8" t="s">
        <v>24</v>
      </c>
      <c r="F47" s="8" t="s">
        <v>25</v>
      </c>
      <c r="G47" s="12" t="s">
        <v>26</v>
      </c>
      <c r="H47" s="8" t="s">
        <v>23</v>
      </c>
      <c r="I47" s="8" t="s">
        <v>22</v>
      </c>
      <c r="J47" s="8"/>
    </row>
    <row r="48" spans="1:10" ht="18" customHeight="1" x14ac:dyDescent="0.2">
      <c r="A48" t="s">
        <v>0</v>
      </c>
      <c r="B48">
        <f>G5</f>
        <v>1</v>
      </c>
      <c r="C48" s="1">
        <f>I5</f>
        <v>99.714039999999997</v>
      </c>
      <c r="D48" s="1">
        <f>$C$44</f>
        <v>15</v>
      </c>
      <c r="E48" s="11">
        <f>$C$40</f>
        <v>0.3</v>
      </c>
      <c r="F48" s="11">
        <f>$C$43</f>
        <v>0.05</v>
      </c>
      <c r="G48" s="1">
        <f>(C48+D48)/(1-E48-F48)</f>
        <v>176.48313846153849</v>
      </c>
      <c r="H48" s="1">
        <f>G48*E48</f>
        <v>52.944941538461542</v>
      </c>
      <c r="I48" s="1">
        <f>G48*F48</f>
        <v>8.8241569230769255</v>
      </c>
    </row>
    <row r="49" spans="1:9" ht="18" customHeight="1" x14ac:dyDescent="0.2">
      <c r="A49" t="s">
        <v>0</v>
      </c>
      <c r="B49">
        <f>G6</f>
        <v>2</v>
      </c>
      <c r="C49" s="1">
        <f>I6</f>
        <v>122.79734999999999</v>
      </c>
      <c r="D49" s="1">
        <f t="shared" ref="D49:D59" si="0">$C$44</f>
        <v>15</v>
      </c>
      <c r="E49" s="11">
        <f t="shared" ref="E49:E59" si="1">$C$40</f>
        <v>0.3</v>
      </c>
      <c r="F49" s="11">
        <f t="shared" ref="F49:F59" si="2">$C$43</f>
        <v>0.05</v>
      </c>
      <c r="G49" s="1">
        <f t="shared" ref="G49:G59" si="3">(C49+D49)/(1-E49-F49)</f>
        <v>211.99592307692311</v>
      </c>
      <c r="H49" s="1">
        <f t="shared" ref="H49:H59" si="4">G49*E49</f>
        <v>63.598776923076926</v>
      </c>
      <c r="I49" s="1">
        <f t="shared" ref="I49:I59" si="5">G49*F49</f>
        <v>10.599796153846157</v>
      </c>
    </row>
    <row r="50" spans="1:9" ht="18" customHeight="1" x14ac:dyDescent="0.2">
      <c r="A50" t="s">
        <v>0</v>
      </c>
      <c r="B50">
        <f>G7</f>
        <v>3</v>
      </c>
      <c r="C50" s="1">
        <f>I7</f>
        <v>102.31882</v>
      </c>
      <c r="D50" s="1">
        <f t="shared" si="0"/>
        <v>15</v>
      </c>
      <c r="E50" s="11">
        <f t="shared" si="1"/>
        <v>0.3</v>
      </c>
      <c r="F50" s="11">
        <f t="shared" si="2"/>
        <v>0.05</v>
      </c>
      <c r="G50" s="1">
        <f t="shared" si="3"/>
        <v>180.49049230769234</v>
      </c>
      <c r="H50" s="1">
        <f t="shared" si="4"/>
        <v>54.147147692307698</v>
      </c>
      <c r="I50" s="1">
        <f t="shared" si="5"/>
        <v>9.0245246153846175</v>
      </c>
    </row>
    <row r="51" spans="1:9" ht="18" customHeight="1" x14ac:dyDescent="0.2">
      <c r="A51" t="s">
        <v>1</v>
      </c>
      <c r="B51">
        <f>G14</f>
        <v>1</v>
      </c>
      <c r="C51" s="1">
        <f>I14</f>
        <v>256.73</v>
      </c>
      <c r="D51" s="1">
        <f t="shared" si="0"/>
        <v>15</v>
      </c>
      <c r="E51" s="11">
        <f t="shared" si="1"/>
        <v>0.3</v>
      </c>
      <c r="F51" s="11">
        <f t="shared" si="2"/>
        <v>0.05</v>
      </c>
      <c r="G51" s="1">
        <f t="shared" si="3"/>
        <v>418.04615384615391</v>
      </c>
      <c r="H51" s="1">
        <f t="shared" si="4"/>
        <v>125.41384615384617</v>
      </c>
      <c r="I51" s="1">
        <f t="shared" si="5"/>
        <v>20.902307692307698</v>
      </c>
    </row>
    <row r="52" spans="1:9" ht="18" customHeight="1" x14ac:dyDescent="0.2">
      <c r="A52" t="s">
        <v>1</v>
      </c>
      <c r="B52">
        <f>G15</f>
        <v>2</v>
      </c>
      <c r="C52" s="1">
        <f>I16</f>
        <v>358.49040000000002</v>
      </c>
      <c r="D52" s="1">
        <f t="shared" si="0"/>
        <v>15</v>
      </c>
      <c r="E52" s="11">
        <f t="shared" si="1"/>
        <v>0.3</v>
      </c>
      <c r="F52" s="11">
        <f t="shared" si="2"/>
        <v>0.05</v>
      </c>
      <c r="G52" s="1">
        <f t="shared" si="3"/>
        <v>574.60061538461548</v>
      </c>
      <c r="H52" s="1">
        <f t="shared" si="4"/>
        <v>172.38018461538465</v>
      </c>
      <c r="I52" s="1">
        <f t="shared" si="5"/>
        <v>28.730030769230776</v>
      </c>
    </row>
    <row r="53" spans="1:9" ht="18" customHeight="1" x14ac:dyDescent="0.2">
      <c r="A53" t="s">
        <v>1</v>
      </c>
      <c r="B53">
        <f>G16</f>
        <v>3</v>
      </c>
      <c r="C53" s="1">
        <f>I17</f>
        <v>318.60186666666669</v>
      </c>
      <c r="D53" s="1">
        <f t="shared" si="0"/>
        <v>15</v>
      </c>
      <c r="E53" s="11">
        <f t="shared" si="1"/>
        <v>0.3</v>
      </c>
      <c r="F53" s="11">
        <f t="shared" si="2"/>
        <v>0.05</v>
      </c>
      <c r="G53" s="1">
        <f t="shared" si="3"/>
        <v>513.23364102564119</v>
      </c>
      <c r="H53" s="1">
        <f t="shared" si="4"/>
        <v>153.97009230769234</v>
      </c>
      <c r="I53" s="1">
        <f t="shared" si="5"/>
        <v>25.66168205128206</v>
      </c>
    </row>
    <row r="54" spans="1:9" ht="18" customHeight="1" x14ac:dyDescent="0.2">
      <c r="A54" t="s">
        <v>2</v>
      </c>
      <c r="B54">
        <f>G23</f>
        <v>1</v>
      </c>
      <c r="C54" s="1">
        <f>I23</f>
        <v>67.504429999999999</v>
      </c>
      <c r="D54" s="1">
        <f t="shared" si="0"/>
        <v>15</v>
      </c>
      <c r="E54" s="11">
        <f t="shared" si="1"/>
        <v>0.3</v>
      </c>
      <c r="F54" s="11">
        <f t="shared" si="2"/>
        <v>0.05</v>
      </c>
      <c r="G54" s="1">
        <f t="shared" si="3"/>
        <v>126.92989230769233</v>
      </c>
      <c r="H54" s="1">
        <f t="shared" si="4"/>
        <v>38.0789676923077</v>
      </c>
      <c r="I54" s="1">
        <f t="shared" si="5"/>
        <v>6.3464946153846169</v>
      </c>
    </row>
    <row r="55" spans="1:9" ht="18" customHeight="1" x14ac:dyDescent="0.2">
      <c r="A55" t="s">
        <v>2</v>
      </c>
      <c r="B55">
        <f>G24</f>
        <v>2</v>
      </c>
      <c r="C55" s="1">
        <f>I24</f>
        <v>66.421409999999995</v>
      </c>
      <c r="D55" s="1">
        <f t="shared" si="0"/>
        <v>15</v>
      </c>
      <c r="E55" s="11">
        <f t="shared" si="1"/>
        <v>0.3</v>
      </c>
      <c r="F55" s="11">
        <f t="shared" si="2"/>
        <v>0.05</v>
      </c>
      <c r="G55" s="1">
        <f t="shared" si="3"/>
        <v>125.2637076923077</v>
      </c>
      <c r="H55" s="1">
        <f t="shared" si="4"/>
        <v>37.579112307692313</v>
      </c>
      <c r="I55" s="1">
        <f t="shared" si="5"/>
        <v>6.2631853846153858</v>
      </c>
    </row>
    <row r="56" spans="1:9" ht="18" customHeight="1" x14ac:dyDescent="0.2">
      <c r="A56" t="s">
        <v>2</v>
      </c>
      <c r="B56">
        <f>G25</f>
        <v>3</v>
      </c>
      <c r="C56" s="1">
        <f>I25</f>
        <v>94.607439999999997</v>
      </c>
      <c r="D56" s="1">
        <f t="shared" si="0"/>
        <v>15</v>
      </c>
      <c r="E56" s="11">
        <f t="shared" si="1"/>
        <v>0.3</v>
      </c>
      <c r="F56" s="11">
        <f t="shared" si="2"/>
        <v>0.05</v>
      </c>
      <c r="G56" s="1">
        <f t="shared" si="3"/>
        <v>168.62683076923079</v>
      </c>
      <c r="H56" s="1">
        <f t="shared" si="4"/>
        <v>50.588049230769236</v>
      </c>
      <c r="I56" s="1">
        <f t="shared" si="5"/>
        <v>8.43134153846154</v>
      </c>
    </row>
    <row r="57" spans="1:9" ht="18" customHeight="1" x14ac:dyDescent="0.2">
      <c r="A57" t="s">
        <v>3</v>
      </c>
      <c r="B57">
        <f>G32</f>
        <v>1</v>
      </c>
      <c r="C57" s="1">
        <f>I32</f>
        <v>356.45429999999999</v>
      </c>
      <c r="D57" s="1">
        <f t="shared" si="0"/>
        <v>15</v>
      </c>
      <c r="E57" s="11">
        <f t="shared" si="1"/>
        <v>0.3</v>
      </c>
      <c r="F57" s="11">
        <f t="shared" si="2"/>
        <v>0.05</v>
      </c>
      <c r="G57" s="1">
        <f t="shared" si="3"/>
        <v>571.46815384615388</v>
      </c>
      <c r="H57" s="1">
        <f t="shared" si="4"/>
        <v>171.44044615384615</v>
      </c>
      <c r="I57" s="1">
        <f t="shared" si="5"/>
        <v>28.573407692307697</v>
      </c>
    </row>
    <row r="58" spans="1:9" ht="18" customHeight="1" x14ac:dyDescent="0.2">
      <c r="A58" t="s">
        <v>3</v>
      </c>
      <c r="B58">
        <f>G33</f>
        <v>2</v>
      </c>
      <c r="C58" s="1">
        <f>I33</f>
        <v>522.15970000000004</v>
      </c>
      <c r="D58" s="1">
        <f t="shared" si="0"/>
        <v>15</v>
      </c>
      <c r="E58" s="11">
        <f t="shared" si="1"/>
        <v>0.3</v>
      </c>
      <c r="F58" s="11">
        <f t="shared" si="2"/>
        <v>0.05</v>
      </c>
      <c r="G58" s="1">
        <f t="shared" si="3"/>
        <v>826.39953846153867</v>
      </c>
      <c r="H58" s="1">
        <f t="shared" si="4"/>
        <v>247.91986153846159</v>
      </c>
      <c r="I58" s="1">
        <f t="shared" si="5"/>
        <v>41.319976923076936</v>
      </c>
    </row>
    <row r="59" spans="1:9" ht="18" customHeight="1" x14ac:dyDescent="0.2">
      <c r="A59" t="s">
        <v>3</v>
      </c>
      <c r="B59">
        <f>G34</f>
        <v>3</v>
      </c>
      <c r="C59" s="1">
        <f>I34</f>
        <v>490.80950000000001</v>
      </c>
      <c r="D59" s="1">
        <f t="shared" si="0"/>
        <v>15</v>
      </c>
      <c r="E59" s="11">
        <f t="shared" si="1"/>
        <v>0.3</v>
      </c>
      <c r="F59" s="11">
        <f t="shared" si="2"/>
        <v>0.05</v>
      </c>
      <c r="G59" s="1">
        <f t="shared" si="3"/>
        <v>778.16846153846166</v>
      </c>
      <c r="H59" s="1">
        <f t="shared" si="4"/>
        <v>233.45053846153849</v>
      </c>
      <c r="I59" s="1">
        <f t="shared" si="5"/>
        <v>38.908423076923086</v>
      </c>
    </row>
    <row r="62" spans="1:9" ht="18" customHeight="1" x14ac:dyDescent="0.25">
      <c r="A62" s="13" t="s">
        <v>27</v>
      </c>
      <c r="B62" s="13"/>
    </row>
    <row r="63" spans="1:9" ht="18" customHeight="1" x14ac:dyDescent="0.2">
      <c r="A63" t="s">
        <v>19</v>
      </c>
      <c r="B63" t="s">
        <v>9</v>
      </c>
      <c r="C63" t="s">
        <v>28</v>
      </c>
      <c r="D63" t="s">
        <v>29</v>
      </c>
      <c r="E63" t="s">
        <v>30</v>
      </c>
    </row>
    <row r="64" spans="1:9" ht="18" customHeight="1" x14ac:dyDescent="0.2">
      <c r="A64" t="str">
        <f>A48</f>
        <v>Personal Property</v>
      </c>
      <c r="B64">
        <f>B48</f>
        <v>1</v>
      </c>
      <c r="C64" s="1">
        <f>(C48+$C$44)/(1-$C$41-$C$43)</f>
        <v>163.87720000000002</v>
      </c>
      <c r="D64" s="1">
        <f>(C48+$C$44)/(1-$C$40-$C$43)</f>
        <v>176.48313846153849</v>
      </c>
      <c r="E64" s="1">
        <f>(C48+$C$44)/(1-$C$42-$C$43)</f>
        <v>191.19006666666667</v>
      </c>
    </row>
    <row r="65" spans="1:5" ht="18" customHeight="1" x14ac:dyDescent="0.2">
      <c r="A65" t="str">
        <f t="shared" ref="A65:B69" si="6">A49</f>
        <v>Personal Property</v>
      </c>
      <c r="B65">
        <f t="shared" si="6"/>
        <v>2</v>
      </c>
      <c r="C65" s="1">
        <f t="shared" ref="C65:C75" si="7">(C49+$C$44)/(1-$C$41-$C$43)</f>
        <v>196.85335714285713</v>
      </c>
      <c r="D65" s="1">
        <f t="shared" ref="D65:D75" si="8">(C49+$C$44)/(1-$C$40-$C$43)</f>
        <v>211.99592307692311</v>
      </c>
      <c r="E65" s="1">
        <f t="shared" ref="E65:E72" si="9">(C49+$C$44)/(1-$C$42-$C$43)</f>
        <v>229.66225</v>
      </c>
    </row>
    <row r="66" spans="1:5" ht="18" customHeight="1" x14ac:dyDescent="0.2">
      <c r="A66" t="str">
        <f t="shared" si="6"/>
        <v>Personal Property</v>
      </c>
      <c r="B66">
        <f t="shared" si="6"/>
        <v>3</v>
      </c>
      <c r="C66" s="1">
        <f t="shared" si="7"/>
        <v>167.59831428571431</v>
      </c>
      <c r="D66" s="1">
        <f t="shared" si="8"/>
        <v>180.49049230769234</v>
      </c>
      <c r="E66" s="1">
        <f t="shared" si="9"/>
        <v>195.53136666666668</v>
      </c>
    </row>
    <row r="67" spans="1:5" ht="18" customHeight="1" x14ac:dyDescent="0.2">
      <c r="A67" t="str">
        <f t="shared" si="6"/>
        <v>Additional Living Expenses</v>
      </c>
      <c r="B67">
        <f t="shared" si="6"/>
        <v>1</v>
      </c>
      <c r="C67" s="1">
        <f t="shared" si="7"/>
        <v>388.18571428571431</v>
      </c>
      <c r="D67" s="1">
        <f t="shared" si="8"/>
        <v>418.04615384615391</v>
      </c>
      <c r="E67" s="1">
        <f t="shared" si="9"/>
        <v>452.88333333333338</v>
      </c>
    </row>
    <row r="68" spans="1:5" ht="18" customHeight="1" x14ac:dyDescent="0.2">
      <c r="A68" t="str">
        <f t="shared" si="6"/>
        <v>Additional Living Expenses</v>
      </c>
      <c r="B68">
        <f t="shared" si="6"/>
        <v>2</v>
      </c>
      <c r="C68" s="1">
        <f t="shared" si="7"/>
        <v>533.55771428571438</v>
      </c>
      <c r="D68" s="1">
        <f t="shared" si="8"/>
        <v>574.60061538461548</v>
      </c>
      <c r="E68" s="1">
        <f t="shared" si="9"/>
        <v>622.48400000000004</v>
      </c>
    </row>
    <row r="69" spans="1:5" ht="18" customHeight="1" x14ac:dyDescent="0.2">
      <c r="A69" t="str">
        <f t="shared" si="6"/>
        <v>Additional Living Expenses</v>
      </c>
      <c r="B69">
        <f t="shared" si="6"/>
        <v>3</v>
      </c>
      <c r="C69" s="1">
        <f t="shared" si="7"/>
        <v>476.57409523809531</v>
      </c>
      <c r="D69" s="1">
        <f t="shared" si="8"/>
        <v>513.23364102564119</v>
      </c>
      <c r="E69" s="1">
        <f t="shared" si="9"/>
        <v>556.00311111111114</v>
      </c>
    </row>
    <row r="70" spans="1:5" ht="18" customHeight="1" x14ac:dyDescent="0.2">
      <c r="A70" t="str">
        <f t="shared" ref="A65:B75" si="10">A54</f>
        <v>Liability Protection</v>
      </c>
      <c r="B70">
        <f t="shared" si="10"/>
        <v>1</v>
      </c>
      <c r="C70" s="1">
        <f t="shared" si="7"/>
        <v>117.86347142857143</v>
      </c>
      <c r="D70" s="1">
        <f t="shared" si="8"/>
        <v>126.92989230769233</v>
      </c>
      <c r="E70" s="1">
        <f t="shared" si="9"/>
        <v>137.50738333333334</v>
      </c>
    </row>
    <row r="71" spans="1:5" ht="18" customHeight="1" x14ac:dyDescent="0.2">
      <c r="A71" t="str">
        <f t="shared" si="10"/>
        <v>Liability Protection</v>
      </c>
      <c r="B71">
        <f t="shared" si="10"/>
        <v>2</v>
      </c>
      <c r="C71" s="1">
        <f t="shared" si="7"/>
        <v>116.3163</v>
      </c>
      <c r="D71" s="1">
        <f t="shared" si="8"/>
        <v>125.2637076923077</v>
      </c>
      <c r="E71" s="1">
        <f t="shared" si="9"/>
        <v>135.70235</v>
      </c>
    </row>
    <row r="72" spans="1:5" ht="18" customHeight="1" x14ac:dyDescent="0.2">
      <c r="A72" t="str">
        <f t="shared" si="10"/>
        <v>Liability Protection</v>
      </c>
      <c r="B72">
        <f t="shared" si="10"/>
        <v>3</v>
      </c>
      <c r="C72" s="1">
        <f t="shared" si="7"/>
        <v>156.58205714285714</v>
      </c>
      <c r="D72" s="1">
        <f t="shared" si="8"/>
        <v>168.62683076923079</v>
      </c>
      <c r="E72" s="1">
        <f t="shared" si="9"/>
        <v>182.67906666666667</v>
      </c>
    </row>
    <row r="73" spans="1:5" ht="18" customHeight="1" x14ac:dyDescent="0.2">
      <c r="A73" t="str">
        <f t="shared" si="10"/>
        <v>Guest Medical Protection</v>
      </c>
      <c r="B73">
        <f t="shared" si="10"/>
        <v>1</v>
      </c>
      <c r="C73" s="1">
        <f t="shared" si="7"/>
        <v>530.649</v>
      </c>
      <c r="D73" s="1">
        <f t="shared" si="8"/>
        <v>571.46815384615388</v>
      </c>
      <c r="E73" s="1">
        <f t="shared" ref="E73:E75" si="11">(C57+$C$44)/(1-$C$42-$C$43)</f>
        <v>619.09050000000002</v>
      </c>
    </row>
    <row r="74" spans="1:5" ht="18" customHeight="1" x14ac:dyDescent="0.2">
      <c r="A74" t="str">
        <f t="shared" si="10"/>
        <v>Guest Medical Protection</v>
      </c>
      <c r="B74">
        <f t="shared" si="10"/>
        <v>2</v>
      </c>
      <c r="C74" s="1">
        <f t="shared" si="7"/>
        <v>767.37100000000009</v>
      </c>
      <c r="D74" s="1">
        <f t="shared" si="8"/>
        <v>826.39953846153867</v>
      </c>
      <c r="E74" s="1">
        <f t="shared" si="11"/>
        <v>895.26616666666678</v>
      </c>
    </row>
    <row r="75" spans="1:5" ht="18" customHeight="1" x14ac:dyDescent="0.2">
      <c r="A75" t="str">
        <f t="shared" si="10"/>
        <v>Guest Medical Protection</v>
      </c>
      <c r="B75">
        <f t="shared" si="10"/>
        <v>3</v>
      </c>
      <c r="C75" s="1">
        <f t="shared" si="7"/>
        <v>722.58500000000004</v>
      </c>
      <c r="D75" s="1">
        <f t="shared" si="8"/>
        <v>778.16846153846166</v>
      </c>
      <c r="E75" s="1">
        <f t="shared" si="11"/>
        <v>843.01583333333338</v>
      </c>
    </row>
  </sheetData>
  <mergeCells count="1">
    <mergeCell ref="A62:B62"/>
  </mergeCells>
  <phoneticPr fontId="1" type="noConversion"/>
  <pageMargins left="0.7" right="0.7" top="0.75" bottom="0.75" header="0.3" footer="0.3"/>
  <pageSetup orientation="portrait" horizontalDpi="0" verticalDpi="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Liang</dc:creator>
  <cp:lastModifiedBy>Thuo Noble</cp:lastModifiedBy>
  <cp:lastPrinted>2026-09-30T18:02:23Z</cp:lastPrinted>
  <dcterms:created xsi:type="dcterms:W3CDTF">2026-09-28T22:21:42Z</dcterms:created>
  <dcterms:modified xsi:type="dcterms:W3CDTF">2026-09-30T20:30:50Z</dcterms:modified>
</cp:coreProperties>
</file>