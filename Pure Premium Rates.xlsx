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deliang/ASA_Case_Competition/"/>
    </mc:Choice>
  </mc:AlternateContent>
  <xr:revisionPtr revIDLastSave="0" documentId="8_{B61AF3E4-3F8E-5642-808E-4D4E41F5ABFC}" xr6:coauthVersionLast="47" xr6:coauthVersionMax="47" xr10:uidLastSave="{00000000-0000-0000-0000-000000000000}"/>
  <bookViews>
    <workbookView xWindow="7760" yWindow="640" windowWidth="21040" windowHeight="16660" xr2:uid="{F7F8354B-009B-B348-9B4A-FB151E53475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5" i="1" l="1"/>
  <c r="H35" i="1"/>
  <c r="D35" i="1"/>
  <c r="C35" i="1"/>
  <c r="J34" i="1"/>
  <c r="E34" i="1"/>
  <c r="J33" i="1"/>
  <c r="E33" i="1"/>
  <c r="J32" i="1"/>
  <c r="E32" i="1"/>
  <c r="E24" i="1"/>
  <c r="I26" i="1"/>
  <c r="H26" i="1"/>
  <c r="D26" i="1"/>
  <c r="C26" i="1"/>
  <c r="J25" i="1"/>
  <c r="E25" i="1"/>
  <c r="J24" i="1"/>
  <c r="J23" i="1"/>
  <c r="E23" i="1"/>
  <c r="I17" i="1"/>
  <c r="H17" i="1"/>
  <c r="D17" i="1"/>
  <c r="C17" i="1"/>
  <c r="J16" i="1"/>
  <c r="E16" i="1"/>
  <c r="J15" i="1"/>
  <c r="E15" i="1"/>
  <c r="J14" i="1"/>
  <c r="E14" i="1"/>
  <c r="J5" i="1"/>
  <c r="I8" i="1"/>
  <c r="H8" i="1"/>
  <c r="J7" i="1"/>
  <c r="J6" i="1"/>
  <c r="E5" i="1"/>
  <c r="E6" i="1"/>
  <c r="E7" i="1"/>
  <c r="D8" i="1"/>
  <c r="C8" i="1"/>
  <c r="E35" i="1" l="1"/>
  <c r="J35" i="1"/>
  <c r="E26" i="1"/>
  <c r="J26" i="1"/>
  <c r="E17" i="1"/>
  <c r="J17" i="1"/>
  <c r="J8" i="1"/>
  <c r="E8" i="1"/>
</calcChain>
</file>

<file path=xl/sharedStrings.xml><?xml version="1.0" encoding="utf-8"?>
<sst xmlns="http://schemas.openxmlformats.org/spreadsheetml/2006/main" count="52" uniqueCount="11">
  <si>
    <t>Personal Property</t>
  </si>
  <si>
    <t>Additional Living Expenses</t>
  </si>
  <si>
    <t>Liability Protection</t>
  </si>
  <si>
    <t>Guest Medical Protection</t>
  </si>
  <si>
    <t>Full Model</t>
  </si>
  <si>
    <t>Observed</t>
  </si>
  <si>
    <t>Fitted</t>
  </si>
  <si>
    <t>Absolute Difference</t>
  </si>
  <si>
    <t>Reduced Model</t>
  </si>
  <si>
    <t>Risk Tier</t>
  </si>
  <si>
    <t>AVG.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</si>
</sst>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&quot;$&quot;#,##0.00"/>
  </numFmts>
  <fonts count="6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4"/>
      <color theme="1"/>
      <name val="Aptos Narrow"/>
      <scheme val="minor"/>
    </font>
    <font>
      <sz val="12"/>
      <color theme="3" tint="0.499984740745262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7" fontId="0" fillId="0" borderId="0" xfId="0" applyNumberFormat="1"/>
    <xf numFmtId="0" fontId="0" fillId="0" borderId="0" xfId="0" applyNumberFormat="1" applyAlignment="1">
      <alignment horizontal="left"/>
    </xf>
    <xf numFmtId="167" fontId="2" fillId="2" borderId="0" xfId="0" applyNumberFormat="1" applyFont="1" applyFill="1"/>
    <xf numFmtId="167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55">
    <dxf>
      <numFmt numFmtId="167" formatCode="&quot;$&quot;#,##0.00"/>
    </dxf>
    <dxf>
      <numFmt numFmtId="167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  <dxf>
      <numFmt numFmtId="167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F3376E-95A9-2E4A-8EAB-6E4634329F4D}" name="Table1" displayName="Table1" ref="B4:E8" totalsRowCount="1">
  <autoFilter ref="B4:E7" xr:uid="{D4F3376E-95A9-2E4A-8EAB-6E4634329F4D}"/>
  <tableColumns count="4">
    <tableColumn id="7" xr3:uid="{8918DF95-7C4A-BD41-A5FF-85345C77FC9E}" name="Risk Tier" totalsRowLabel="AVG." dataDxfId="20"/>
    <tableColumn id="1" xr3:uid="{20E4B2A5-5E98-874B-BBF5-78E2BF4D12EC}" name="Observed" totalsRowFunction="custom" dataDxfId="21" totalsRowDxfId="54">
      <totalsRowFormula>SUBTOTAL(1,Table1[Observed] )</totalsRowFormula>
    </tableColumn>
    <tableColumn id="2" xr3:uid="{C30DF179-960E-3146-930C-9312F4D27F3B}" name="Fitted" totalsRowFunction="custom" dataDxfId="53" totalsRowDxfId="52">
      <totalsRowFormula>SUBTOTAL(1, Table1[Fitted])</totalsRowFormula>
    </tableColumn>
    <tableColumn id="3" xr3:uid="{A1053E5A-AEFD-9A43-8AF8-546C5748FC53}" name="Absolute Difference" totalsRowFunction="custom" dataDxfId="51" totalsRowDxfId="50">
      <calculatedColumnFormula>ABS(Table1[[#This Row],[Observed]]-Table1[[#This Row],[Fitted]])</calculatedColumnFormula>
      <totalsRowFormula>SUBTOTAL(1, Table1[Absolute Difference])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0E3987-AA70-DB44-ADDB-934538A07F05}" name="Table13" displayName="Table13" ref="G4:J8" totalsRowCount="1">
  <autoFilter ref="G4:J7" xr:uid="{910E3987-AA70-DB44-ADDB-934538A07F05}"/>
  <tableColumns count="4">
    <tableColumn id="4" xr3:uid="{83712F53-0FC4-9541-8347-965887B62514}" name="Risk Tier" totalsRowLabel="AVG." dataDxfId="2"/>
    <tableColumn id="1" xr3:uid="{057207C4-5D28-6246-8217-DDFF3EA7336D}" name="Observed" totalsRowFunction="custom" dataDxfId="48" totalsRowDxfId="49">
      <totalsRowFormula>SUBTOTAL(1,Table13[Observed] )</totalsRowFormula>
    </tableColumn>
    <tableColumn id="2" xr3:uid="{6036E869-A94E-2C4B-9F3E-EDC498F1CF85}" name="Fitted" totalsRowFunction="custom" dataDxfId="46" totalsRowDxfId="47">
      <totalsRowFormula>SUBTOTAL(1, Table13[Fitted])</totalsRowFormula>
    </tableColumn>
    <tableColumn id="3" xr3:uid="{18AB0BAF-F3D8-ED47-8544-D751627AFED9}" name="Absolute Difference" totalsRowFunction="custom" dataDxfId="44" totalsRowDxfId="45">
      <calculatedColumnFormula>ABS(Table13[[#This Row],[Observed]]-Table13[[#This Row],[Fitted]])</calculatedColumnFormula>
      <totalsRowFormula>SUBTOTAL(1, Table13[Absolute Difference])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740DD6-8D3F-4C41-B6C2-EB01A7D9CF95}" name="Table14" displayName="Table14" ref="B13:E17" totalsRowCount="1">
  <autoFilter ref="B13:E16" xr:uid="{46740DD6-8D3F-4C41-B6C2-EB01A7D9CF95}"/>
  <tableColumns count="4">
    <tableColumn id="4" xr3:uid="{607CE2A9-8871-A144-9CAE-C3248A68B0B8}" name="Risk Tier" totalsRowLabel="AVG." dataDxfId="8"/>
    <tableColumn id="1" xr3:uid="{6E81F88E-C5EA-984F-86A9-83D03CCECDFB}" name="Observed" totalsRowFunction="custom" dataDxfId="42" totalsRowDxfId="43">
      <totalsRowFormula>SUBTOTAL(1,Table14[Observed] )</totalsRowFormula>
    </tableColumn>
    <tableColumn id="2" xr3:uid="{511FC660-D43C-E148-B25A-0D488F067D0C}" name="Fitted" totalsRowFunction="custom" dataDxfId="40" totalsRowDxfId="41">
      <totalsRowFormula>SUBTOTAL(1, Table14[Fitted])</totalsRowFormula>
    </tableColumn>
    <tableColumn id="3" xr3:uid="{67E1AF87-FA35-B642-A7F4-F969FDE2778F}" name="Absolute Difference" totalsRowFunction="custom" dataDxfId="38" totalsRowDxfId="39">
      <calculatedColumnFormula>ABS(Table14[[#This Row],[Observed]]-Table14[[#This Row],[Fitted]])</calculatedColumnFormula>
      <totalsRowFormula>SUBTOTAL(1, Table14[Absolute Difference])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FC5045-E28C-854F-956C-78108BB54259}" name="Table135" displayName="Table135" ref="G13:J17" totalsRowCount="1">
  <autoFilter ref="G13:J16" xr:uid="{F4FC5045-E28C-854F-956C-78108BB54259}"/>
  <tableColumns count="4">
    <tableColumn id="4" xr3:uid="{9716A5F7-34CF-7044-8EA9-976BF7B4AF3E}" name="Risk Tier" totalsRowLabel="AVG." dataDxfId="3"/>
    <tableColumn id="1" xr3:uid="{0DC6EE4F-97B4-DB41-ABA3-D37D4C552733}" name="Observed" totalsRowFunction="custom" dataDxfId="1" totalsRowDxfId="37">
      <totalsRowFormula>SUBTOTAL(1,Table135[Observed] )</totalsRowFormula>
    </tableColumn>
    <tableColumn id="2" xr3:uid="{293F59A2-CD66-6E46-A2E6-882BA885A121}" name="Fitted" totalsRowFunction="custom" dataDxfId="35" totalsRowDxfId="36">
      <totalsRowFormula>SUBTOTAL(1, Table135[Fitted])</totalsRowFormula>
    </tableColumn>
    <tableColumn id="3" xr3:uid="{28CF6BDB-BFA5-7348-9164-72744C12996E}" name="Absolute Difference" totalsRowFunction="custom" dataDxfId="33" totalsRowDxfId="34">
      <calculatedColumnFormula>ABS(Table135[[#This Row],[Observed]]-Table135[[#This Row],[Fitted]])</calculatedColumnFormula>
      <totalsRowFormula>SUBTOTAL(1, Table135[Absolute Difference])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F19D37E-B4F4-9F4A-9D2C-15A7CBC1976B}" name="Table146" displayName="Table146" ref="B22:E26" totalsRowCount="1">
  <autoFilter ref="B22:E25" xr:uid="{CF19D37E-B4F4-9F4A-9D2C-15A7CBC1976B}"/>
  <tableColumns count="4">
    <tableColumn id="4" xr3:uid="{B7AD1E64-8E3B-BA4A-9091-CBEBB9EF8BC7}" name="Risk Tier" totalsRowLabel="AVG." dataDxfId="7"/>
    <tableColumn id="1" xr3:uid="{83B2B00C-91EB-D54F-86B5-9E0BEE2CF4ED}" name="Observed" totalsRowFunction="custom" dataDxfId="31" totalsRowDxfId="32">
      <totalsRowFormula>SUBTOTAL(1,Table146[Observed] )</totalsRowFormula>
    </tableColumn>
    <tableColumn id="2" xr3:uid="{E15A4E32-7F86-314E-8A88-7368A7BD5FD5}" name="Fitted" totalsRowFunction="custom" dataDxfId="29" totalsRowDxfId="30">
      <totalsRowFormula>SUBTOTAL(1, Table146[Fitted])</totalsRowFormula>
    </tableColumn>
    <tableColumn id="3" xr3:uid="{A81F8271-B94A-D243-9ED7-75FE33998F1A}" name="Absolute Difference" totalsRowFunction="custom" dataDxfId="27" totalsRowDxfId="28">
      <calculatedColumnFormula>ABS(Table146[[#This Row],[Observed]]-Table146[[#This Row],[Fitted]])</calculatedColumnFormula>
      <totalsRowFormula>SUBTOTAL(1, Table146[Absolute Difference])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548A50-2E30-1F41-801D-73AA90CC1214}" name="Table1357" displayName="Table1357" ref="G22:J26" totalsRowCount="1">
  <autoFilter ref="G22:J25" xr:uid="{8E548A50-2E30-1F41-801D-73AA90CC1214}"/>
  <tableColumns count="4">
    <tableColumn id="4" xr3:uid="{3676CE37-F7C5-6544-B2E1-AD6F7E521928}" name="Risk Tier" totalsRowLabel="AVG." dataDxfId="4"/>
    <tableColumn id="1" xr3:uid="{0B5C8307-12B6-7141-B717-BA9D21076B27}" name="Observed" totalsRowFunction="custom" dataDxfId="0" totalsRowDxfId="26">
      <totalsRowFormula>SUBTOTAL(1,Table1357[Observed] )</totalsRowFormula>
    </tableColumn>
    <tableColumn id="2" xr3:uid="{DE7E9AF5-BF89-9C49-8D7C-F3E5F4225E72}" name="Fitted" totalsRowFunction="custom" dataDxfId="24" totalsRowDxfId="25">
      <totalsRowFormula>SUBTOTAL(1, Table1357[Fitted])</totalsRowFormula>
    </tableColumn>
    <tableColumn id="3" xr3:uid="{EA1ADE84-28FD-9246-9331-41A77FA34A99}" name="Absolute Difference" totalsRowFunction="custom" dataDxfId="22" totalsRowDxfId="23">
      <calculatedColumnFormula>ABS(Table1357[[#This Row],[Observed]]-Table1357[[#This Row],[Fitted]])</calculatedColumnFormula>
      <totalsRowFormula>SUBTOTAL(1, Table1357[Absolute Difference])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68929-C7D0-2948-A26F-DEB45C25689D}" name="Table1468" displayName="Table1468" ref="B31:E35" totalsRowCount="1">
  <autoFilter ref="B31:E34" xr:uid="{65368929-C7D0-2948-A26F-DEB45C25689D}"/>
  <tableColumns count="4">
    <tableColumn id="4" xr3:uid="{4885230C-565A-C04D-9587-4FD90CEA2E29}" name="Risk Tier" totalsRowLabel="AVG." dataDxfId="6"/>
    <tableColumn id="1" xr3:uid="{ED04F1D2-3D0E-3E45-BB87-9CF5046E5EEC}" name="Observed" totalsRowFunction="custom" dataDxfId="18" totalsRowDxfId="19">
      <totalsRowFormula>SUBTOTAL(1,Table1468[Observed] )</totalsRowFormula>
    </tableColumn>
    <tableColumn id="2" xr3:uid="{9B13236D-C75D-8C4D-AE10-D4400932D993}" name="Fitted" totalsRowFunction="custom" dataDxfId="16" totalsRowDxfId="17">
      <totalsRowFormula>SUBTOTAL(1, Table1468[Fitted])</totalsRowFormula>
    </tableColumn>
    <tableColumn id="3" xr3:uid="{C657DFCB-04FF-0C4E-94C6-80554CDC767B}" name="Absolute Difference" totalsRowFunction="custom" dataDxfId="14" totalsRowDxfId="15">
      <calculatedColumnFormula>ABS(Table1468[[#This Row],[Observed]]-Table1468[[#This Row],[Fitted]])</calculatedColumnFormula>
      <totalsRowFormula>SUBTOTAL(1, Table1468[Absolute Difference])</totalsRow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D2530D-7FCF-5D4E-A2C7-81344DD26C03}" name="Table13579" displayName="Table13579" ref="G31:J35" totalsRowCount="1">
  <autoFilter ref="G31:J34" xr:uid="{DCD2530D-7FCF-5D4E-A2C7-81344DD26C03}"/>
  <tableColumns count="4">
    <tableColumn id="4" xr3:uid="{A7F2CDEB-96C0-FB4A-B026-DF16E8F407A6}" name="Risk Tier" totalsRowLabel="AVG." dataDxfId="5"/>
    <tableColumn id="1" xr3:uid="{85D0452F-EF62-894D-B7FE-2F5B8094F492}" name="Observed" totalsRowFunction="custom" totalsRowDxfId="13">
      <totalsRowFormula>SUBTOTAL(1,Table13579[Observed] )</totalsRowFormula>
    </tableColumn>
    <tableColumn id="2" xr3:uid="{0E77611A-8825-C545-B8BA-AE93DE82A226}" name="Fitted" totalsRowFunction="custom" dataDxfId="11" totalsRowDxfId="12">
      <totalsRowFormula>SUBTOTAL(1, Table13579[Fitted])</totalsRowFormula>
    </tableColumn>
    <tableColumn id="3" xr3:uid="{1D2EB09C-A83F-5849-935C-00EC73D30C1C}" name="Absolute Difference" totalsRowFunction="custom" dataDxfId="9" totalsRowDxfId="10">
      <calculatedColumnFormula>ABS(Table13579[[#This Row],[Observed]]-Table13579[[#This Row],[Fitted]])</calculatedColumnFormula>
      <totalsRowFormula>SUBTOTAL(1, Table13579[Absolute Difference])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550D-5AD1-2D48-8A2A-F3BB1CE866C4}">
  <dimension ref="A2:J35"/>
  <sheetViews>
    <sheetView tabSelected="1" workbookViewId="0">
      <selection activeCell="A10" sqref="A10"/>
    </sheetView>
  </sheetViews>
  <sheetFormatPr baseColWidth="10" defaultColWidth="12" defaultRowHeight="18" customHeight="1" x14ac:dyDescent="0.2"/>
  <cols>
    <col min="1" max="1" width="15.33203125" bestFit="1" customWidth="1"/>
    <col min="2" max="2" width="10.6640625" bestFit="1" customWidth="1"/>
    <col min="3" max="3" width="19.33203125" customWidth="1"/>
    <col min="4" max="4" width="20.33203125" bestFit="1" customWidth="1"/>
    <col min="5" max="5" width="20.33203125" customWidth="1"/>
    <col min="7" max="7" width="10.83203125" customWidth="1"/>
    <col min="8" max="8" width="19.33203125" customWidth="1"/>
    <col min="10" max="10" width="20.33203125" bestFit="1" customWidth="1"/>
  </cols>
  <sheetData>
    <row r="2" spans="1:10" ht="18" customHeight="1" x14ac:dyDescent="0.25">
      <c r="A2" s="5" t="s">
        <v>0</v>
      </c>
    </row>
    <row r="3" spans="1:10" ht="18" customHeight="1" x14ac:dyDescent="0.2">
      <c r="B3" s="6" t="s">
        <v>4</v>
      </c>
      <c r="G3" s="7" t="s">
        <v>8</v>
      </c>
    </row>
    <row r="4" spans="1:10" ht="18" customHeight="1" x14ac:dyDescent="0.2">
      <c r="B4" t="s">
        <v>9</v>
      </c>
      <c r="C4" t="s">
        <v>5</v>
      </c>
      <c r="D4" t="s">
        <v>6</v>
      </c>
      <c r="E4" t="s">
        <v>7</v>
      </c>
      <c r="G4" t="s">
        <v>9</v>
      </c>
      <c r="H4" t="s">
        <v>5</v>
      </c>
      <c r="I4" t="s">
        <v>6</v>
      </c>
      <c r="J4" t="s">
        <v>7</v>
      </c>
    </row>
    <row r="5" spans="1:10" ht="18" customHeight="1" x14ac:dyDescent="0.2">
      <c r="B5" s="2">
        <v>1</v>
      </c>
      <c r="C5" s="1">
        <v>77.152100000000004</v>
      </c>
      <c r="D5" s="1">
        <v>99.974900000000005</v>
      </c>
      <c r="E5" s="1">
        <f>ABS(Table1[[#This Row],[Observed]]-Table1[[#This Row],[Fitted]])</f>
        <v>22.822800000000001</v>
      </c>
      <c r="G5" s="2">
        <v>1</v>
      </c>
      <c r="H5" s="1">
        <v>77.152100000000004</v>
      </c>
      <c r="I5" s="1">
        <v>99.714039999999997</v>
      </c>
      <c r="J5" s="1">
        <f>ABS(Table13[[#This Row],[Observed]]-Table13[[#This Row],[Fitted]])</f>
        <v>22.561939999999993</v>
      </c>
    </row>
    <row r="6" spans="1:10" ht="18" customHeight="1" x14ac:dyDescent="0.2">
      <c r="B6" s="2">
        <v>2</v>
      </c>
      <c r="C6" s="1">
        <v>97.43826</v>
      </c>
      <c r="D6" s="1">
        <v>123.1982</v>
      </c>
      <c r="E6" s="1">
        <f>ABS(Table1[[#This Row],[Observed]]-Table1[[#This Row],[Fitted]])</f>
        <v>25.75994</v>
      </c>
      <c r="G6" s="2">
        <v>2</v>
      </c>
      <c r="H6" s="1">
        <v>97.43826</v>
      </c>
      <c r="I6" s="1">
        <v>122.79734999999999</v>
      </c>
      <c r="J6" s="1">
        <f>ABS(Table13[[#This Row],[Observed]]-Table13[[#This Row],[Fitted]])</f>
        <v>25.359089999999995</v>
      </c>
    </row>
    <row r="7" spans="1:10" ht="18" customHeight="1" x14ac:dyDescent="0.2">
      <c r="B7" s="2">
        <v>3</v>
      </c>
      <c r="C7" s="1">
        <v>116.77245000000001</v>
      </c>
      <c r="D7" s="1">
        <v>102.5569</v>
      </c>
      <c r="E7" s="1">
        <f>ABS(Table1[[#This Row],[Observed]]-Table1[[#This Row],[Fitted]])</f>
        <v>14.215550000000007</v>
      </c>
      <c r="G7" s="2">
        <v>3</v>
      </c>
      <c r="H7" s="1">
        <v>116.77245000000001</v>
      </c>
      <c r="I7" s="1">
        <v>102.31882</v>
      </c>
      <c r="J7" s="1">
        <f>ABS(Table13[[#This Row],[Observed]]-Table13[[#This Row],[Fitted]])</f>
        <v>14.453630000000004</v>
      </c>
    </row>
    <row r="8" spans="1:10" ht="18" customHeight="1" x14ac:dyDescent="0.2">
      <c r="B8" t="s">
        <v>10</v>
      </c>
      <c r="C8" s="1">
        <f>SUBTOTAL(1,Table1[Observed] )</f>
        <v>97.12093666666668</v>
      </c>
      <c r="D8" s="1">
        <f>SUBTOTAL(1, Table1[Fitted])</f>
        <v>108.57666666666667</v>
      </c>
      <c r="E8" s="1">
        <f>SUBTOTAL(1, Table1[Absolute Difference])</f>
        <v>20.932763333333337</v>
      </c>
      <c r="G8" t="s">
        <v>10</v>
      </c>
      <c r="H8" s="1">
        <f>SUBTOTAL(1,Table13[Observed] )</f>
        <v>97.12093666666668</v>
      </c>
      <c r="I8" s="1">
        <f>SUBTOTAL(1, Table13[Fitted])</f>
        <v>108.27673666666668</v>
      </c>
      <c r="J8" s="1">
        <f>SUBTOTAL(1, Table13[Absolute Difference])</f>
        <v>20.791553333333329</v>
      </c>
    </row>
    <row r="11" spans="1:10" ht="18" customHeight="1" x14ac:dyDescent="0.25">
      <c r="A11" s="5" t="s">
        <v>1</v>
      </c>
    </row>
    <row r="12" spans="1:10" ht="18" customHeight="1" x14ac:dyDescent="0.2">
      <c r="B12" s="6" t="s">
        <v>4</v>
      </c>
      <c r="G12" s="7" t="s">
        <v>8</v>
      </c>
    </row>
    <row r="13" spans="1:10" ht="18" customHeight="1" x14ac:dyDescent="0.2">
      <c r="B13" t="s">
        <v>9</v>
      </c>
      <c r="C13" t="s">
        <v>5</v>
      </c>
      <c r="D13" t="s">
        <v>6</v>
      </c>
      <c r="E13" t="s">
        <v>7</v>
      </c>
      <c r="G13" t="s">
        <v>9</v>
      </c>
      <c r="H13" t="s">
        <v>5</v>
      </c>
      <c r="I13" t="s">
        <v>6</v>
      </c>
      <c r="J13" t="s">
        <v>7</v>
      </c>
    </row>
    <row r="14" spans="1:10" ht="18" customHeight="1" x14ac:dyDescent="0.2">
      <c r="B14" s="2">
        <v>1</v>
      </c>
      <c r="C14" s="1">
        <v>314.63380000000001</v>
      </c>
      <c r="D14" s="1">
        <v>255.1575</v>
      </c>
      <c r="E14" s="1">
        <f>ABS(Table14[[#This Row],[Observed]]-Table14[[#This Row],[Fitted]])</f>
        <v>59.476300000000009</v>
      </c>
      <c r="G14" s="2">
        <v>1</v>
      </c>
      <c r="H14" s="1">
        <v>314.63380000000001</v>
      </c>
      <c r="I14" s="1">
        <v>256.73</v>
      </c>
      <c r="J14" s="1">
        <f>ABS(Table135[[#This Row],[Observed]]-Table135[[#This Row],[Fitted]])</f>
        <v>57.90379999999999</v>
      </c>
    </row>
    <row r="15" spans="1:10" ht="18" customHeight="1" x14ac:dyDescent="0.2">
      <c r="B15" s="2">
        <v>2</v>
      </c>
      <c r="C15" s="1">
        <v>237.50729999999999</v>
      </c>
      <c r="D15" s="1">
        <v>342.42680000000001</v>
      </c>
      <c r="E15" s="1">
        <f>ABS(Table14[[#This Row],[Observed]]-Table14[[#This Row],[Fitted]])</f>
        <v>104.91950000000003</v>
      </c>
      <c r="G15" s="2">
        <v>2</v>
      </c>
      <c r="H15" s="1">
        <v>237.50729999999999</v>
      </c>
      <c r="I15" s="1">
        <v>340.58519999999999</v>
      </c>
      <c r="J15" s="1">
        <f>ABS(Table135[[#This Row],[Observed]]-Table135[[#This Row],[Fitted]])</f>
        <v>103.0779</v>
      </c>
    </row>
    <row r="16" spans="1:10" ht="18" customHeight="1" x14ac:dyDescent="0.2">
      <c r="B16" s="2">
        <v>3</v>
      </c>
      <c r="C16" s="1">
        <v>288.53570000000002</v>
      </c>
      <c r="D16" s="1">
        <v>357.40469999999999</v>
      </c>
      <c r="E16" s="1">
        <f>ABS(Table14[[#This Row],[Observed]]-Table14[[#This Row],[Fitted]])</f>
        <v>68.868999999999971</v>
      </c>
      <c r="G16" s="2">
        <v>3</v>
      </c>
      <c r="H16" s="1">
        <v>288.53570000000002</v>
      </c>
      <c r="I16" s="1">
        <v>358.49040000000002</v>
      </c>
      <c r="J16" s="1">
        <f>ABS(Table135[[#This Row],[Observed]]-Table135[[#This Row],[Fitted]])</f>
        <v>69.954700000000003</v>
      </c>
    </row>
    <row r="17" spans="1:10" ht="18" customHeight="1" x14ac:dyDescent="0.2">
      <c r="B17" t="s">
        <v>10</v>
      </c>
      <c r="C17" s="1">
        <f>SUBTOTAL(1,Table14[Observed] )</f>
        <v>280.22560000000004</v>
      </c>
      <c r="D17" s="1">
        <f>SUBTOTAL(1, Table14[Fitted])</f>
        <v>318.3296666666667</v>
      </c>
      <c r="E17" s="1">
        <f>SUBTOTAL(1, Table14[Absolute Difference])</f>
        <v>77.754933333333341</v>
      </c>
      <c r="G17" t="s">
        <v>10</v>
      </c>
      <c r="H17" s="1">
        <f>SUBTOTAL(1,Table135[Observed] )</f>
        <v>280.22560000000004</v>
      </c>
      <c r="I17" s="1">
        <f>SUBTOTAL(1, Table135[Fitted])</f>
        <v>318.60186666666669</v>
      </c>
      <c r="J17" s="1">
        <f>SUBTOTAL(1, Table135[Absolute Difference])</f>
        <v>76.978799999999993</v>
      </c>
    </row>
    <row r="18" spans="1:10" ht="18" customHeight="1" x14ac:dyDescent="0.2">
      <c r="B18" s="1"/>
      <c r="C18" s="1"/>
      <c r="D18" s="1"/>
      <c r="E18" s="1"/>
      <c r="F18" s="1"/>
      <c r="G18" s="1"/>
      <c r="H18" s="1"/>
    </row>
    <row r="19" spans="1:10" ht="18" customHeight="1" x14ac:dyDescent="0.2">
      <c r="B19" s="1"/>
      <c r="C19" s="1"/>
      <c r="D19" s="1"/>
      <c r="E19" s="1"/>
      <c r="F19" s="1"/>
      <c r="G19" s="1"/>
      <c r="H19" s="1"/>
    </row>
    <row r="20" spans="1:10" ht="18" customHeight="1" x14ac:dyDescent="0.25">
      <c r="A20" s="5" t="s">
        <v>2</v>
      </c>
    </row>
    <row r="21" spans="1:10" ht="18" customHeight="1" x14ac:dyDescent="0.2">
      <c r="B21" s="6" t="s">
        <v>4</v>
      </c>
      <c r="G21" s="7" t="s">
        <v>8</v>
      </c>
    </row>
    <row r="22" spans="1:10" ht="18" customHeight="1" x14ac:dyDescent="0.2">
      <c r="B22" t="s">
        <v>9</v>
      </c>
      <c r="C22" t="s">
        <v>5</v>
      </c>
      <c r="D22" t="s">
        <v>6</v>
      </c>
      <c r="E22" t="s">
        <v>7</v>
      </c>
      <c r="G22" t="s">
        <v>9</v>
      </c>
      <c r="H22" t="s">
        <v>5</v>
      </c>
      <c r="I22" t="s">
        <v>6</v>
      </c>
      <c r="J22" t="s">
        <v>7</v>
      </c>
    </row>
    <row r="23" spans="1:10" ht="18" customHeight="1" x14ac:dyDescent="0.2">
      <c r="B23" s="2">
        <v>1</v>
      </c>
      <c r="C23" s="1">
        <v>100.71044999999999</v>
      </c>
      <c r="D23" s="1">
        <v>67.586240000000004</v>
      </c>
      <c r="E23" s="1">
        <f>ABS(Table146[[#This Row],[Observed]]-Table146[[#This Row],[Fitted]])</f>
        <v>33.124209999999991</v>
      </c>
      <c r="G23" s="2">
        <v>1</v>
      </c>
      <c r="H23" s="1">
        <v>100.71044999999999</v>
      </c>
      <c r="I23" s="1">
        <v>67.504429999999999</v>
      </c>
      <c r="J23" s="1">
        <f>ABS(Table1357[[#This Row],[Observed]]-Table1357[[#This Row],[Fitted]])</f>
        <v>33.206019999999995</v>
      </c>
    </row>
    <row r="24" spans="1:10" ht="18" customHeight="1" x14ac:dyDescent="0.2">
      <c r="B24" s="2">
        <v>2</v>
      </c>
      <c r="C24" s="1">
        <v>111.63415999999999</v>
      </c>
      <c r="D24" s="1">
        <v>66.653720000000007</v>
      </c>
      <c r="E24" s="1">
        <f>ABS(Table146[[#This Row],[Observed]]-Table146[[#This Row],[Fitted]])</f>
        <v>44.980439999999987</v>
      </c>
      <c r="G24" s="2">
        <v>2</v>
      </c>
      <c r="H24" s="1">
        <v>111.63415999999999</v>
      </c>
      <c r="I24" s="1">
        <v>66.421409999999995</v>
      </c>
      <c r="J24" s="1">
        <f>ABS(Table1357[[#This Row],[Observed]]-Table1357[[#This Row],[Fitted]])</f>
        <v>45.21275</v>
      </c>
    </row>
    <row r="25" spans="1:10" ht="18" customHeight="1" x14ac:dyDescent="0.2">
      <c r="B25" s="2">
        <v>3</v>
      </c>
      <c r="C25" s="1">
        <v>77.959190000000007</v>
      </c>
      <c r="D25" s="1">
        <v>94.756749999999997</v>
      </c>
      <c r="E25" s="1">
        <f>ABS(Table146[[#This Row],[Observed]]-Table146[[#This Row],[Fitted]])</f>
        <v>16.79755999999999</v>
      </c>
      <c r="G25" s="2">
        <v>3</v>
      </c>
      <c r="H25" s="1">
        <v>77.959190000000007</v>
      </c>
      <c r="I25" s="1">
        <v>94.607439999999997</v>
      </c>
      <c r="J25" s="1">
        <f>ABS(Table1357[[#This Row],[Observed]]-Table1357[[#This Row],[Fitted]])</f>
        <v>16.64824999999999</v>
      </c>
    </row>
    <row r="26" spans="1:10" ht="18" customHeight="1" x14ac:dyDescent="0.2">
      <c r="B26" t="s">
        <v>10</v>
      </c>
      <c r="C26" s="1">
        <f>SUBTOTAL(1,Table146[Observed] )</f>
        <v>96.767933333333346</v>
      </c>
      <c r="D26" s="1">
        <f>SUBTOTAL(1, Table146[Fitted])</f>
        <v>76.332236666666674</v>
      </c>
      <c r="E26" s="1">
        <f>SUBTOTAL(1, Table146[Absolute Difference])</f>
        <v>31.634069999999991</v>
      </c>
      <c r="G26" t="s">
        <v>10</v>
      </c>
      <c r="H26" s="1">
        <f>SUBTOTAL(1,Table1357[Observed] )</f>
        <v>96.767933333333346</v>
      </c>
      <c r="I26" s="1">
        <f>SUBTOTAL(1, Table1357[Fitted])</f>
        <v>76.177759999999992</v>
      </c>
      <c r="J26" s="1">
        <f>SUBTOTAL(1, Table1357[Absolute Difference])</f>
        <v>31.689006666666661</v>
      </c>
    </row>
    <row r="29" spans="1:10" ht="18" customHeight="1" x14ac:dyDescent="0.25">
      <c r="A29" s="5" t="s">
        <v>3</v>
      </c>
    </row>
    <row r="30" spans="1:10" ht="18" customHeight="1" x14ac:dyDescent="0.2">
      <c r="B30" s="6" t="s">
        <v>4</v>
      </c>
      <c r="G30" s="7" t="s">
        <v>8</v>
      </c>
    </row>
    <row r="31" spans="1:10" ht="18" customHeight="1" x14ac:dyDescent="0.2">
      <c r="B31" t="s">
        <v>9</v>
      </c>
      <c r="C31" t="s">
        <v>5</v>
      </c>
      <c r="D31" t="s">
        <v>6</v>
      </c>
      <c r="E31" t="s">
        <v>7</v>
      </c>
      <c r="G31" t="s">
        <v>9</v>
      </c>
      <c r="H31" t="s">
        <v>5</v>
      </c>
      <c r="I31" t="s">
        <v>6</v>
      </c>
      <c r="J31" t="s">
        <v>7</v>
      </c>
    </row>
    <row r="32" spans="1:10" ht="18" customHeight="1" x14ac:dyDescent="0.2">
      <c r="B32" s="2">
        <v>1</v>
      </c>
      <c r="C32" s="1">
        <v>298.28820000000002</v>
      </c>
      <c r="D32" s="1">
        <v>360.02</v>
      </c>
      <c r="E32" s="1">
        <f>ABS(Table1468[[#This Row],[Observed]]-Table1468[[#This Row],[Fitted]])</f>
        <v>61.731799999999964</v>
      </c>
      <c r="G32" s="2">
        <v>1</v>
      </c>
      <c r="H32" s="3">
        <v>298.29000000000002</v>
      </c>
      <c r="I32" s="1">
        <v>356.45429999999999</v>
      </c>
      <c r="J32" s="1">
        <f>ABS(Table13579[[#This Row],[Observed]]-Table13579[[#This Row],[Fitted]])</f>
        <v>58.164299999999969</v>
      </c>
    </row>
    <row r="33" spans="2:10" ht="18" customHeight="1" x14ac:dyDescent="0.2">
      <c r="B33" s="2">
        <v>2</v>
      </c>
      <c r="C33" s="1">
        <v>346.7208</v>
      </c>
      <c r="D33" s="1">
        <v>532.67010000000005</v>
      </c>
      <c r="E33" s="1">
        <f>ABS(Table1468[[#This Row],[Observed]]-Table1468[[#This Row],[Fitted]])</f>
        <v>185.94930000000005</v>
      </c>
      <c r="G33" s="2">
        <v>2</v>
      </c>
      <c r="H33" s="4">
        <v>346.72</v>
      </c>
      <c r="I33" s="1">
        <v>522.15970000000004</v>
      </c>
      <c r="J33" s="1">
        <f>ABS(Table13579[[#This Row],[Observed]]-Table13579[[#This Row],[Fitted]])</f>
        <v>175.43970000000002</v>
      </c>
    </row>
    <row r="34" spans="2:10" ht="18" customHeight="1" x14ac:dyDescent="0.2">
      <c r="B34" s="2">
        <v>3</v>
      </c>
      <c r="C34" s="1">
        <v>398.03809999999999</v>
      </c>
      <c r="D34" s="1">
        <v>491.90620000000001</v>
      </c>
      <c r="E34" s="1">
        <f>ABS(Table1468[[#This Row],[Observed]]-Table1468[[#This Row],[Fitted]])</f>
        <v>93.868100000000027</v>
      </c>
      <c r="G34" s="2">
        <v>3</v>
      </c>
      <c r="H34" s="3">
        <v>398.04</v>
      </c>
      <c r="I34" s="1">
        <v>490.80950000000001</v>
      </c>
      <c r="J34" s="1">
        <f>ABS(Table13579[[#This Row],[Observed]]-Table13579[[#This Row],[Fitted]])</f>
        <v>92.769499999999994</v>
      </c>
    </row>
    <row r="35" spans="2:10" ht="18" customHeight="1" x14ac:dyDescent="0.2">
      <c r="B35" t="s">
        <v>10</v>
      </c>
      <c r="C35" s="1">
        <f>SUBTOTAL(1,Table1468[Observed] )</f>
        <v>347.68236666666667</v>
      </c>
      <c r="D35" s="1">
        <f>SUBTOTAL(1, Table1468[Fitted])</f>
        <v>461.53210000000007</v>
      </c>
      <c r="E35" s="1">
        <f>SUBTOTAL(1, Table1468[Absolute Difference])</f>
        <v>113.84973333333335</v>
      </c>
      <c r="G35" t="s">
        <v>10</v>
      </c>
      <c r="H35" s="1">
        <f>SUBTOTAL(1,Table13579[Observed] )</f>
        <v>347.68333333333334</v>
      </c>
      <c r="I35" s="1">
        <f>SUBTOTAL(1, Table13579[Fitted])</f>
        <v>456.47450000000003</v>
      </c>
      <c r="J35" s="1">
        <f>SUBTOTAL(1, Table13579[Absolute Difference])</f>
        <v>108.79116666666665</v>
      </c>
    </row>
  </sheetData>
  <phoneticPr fontId="1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Liang</dc:creator>
  <cp:lastModifiedBy>Jade Liang</cp:lastModifiedBy>
  <dcterms:created xsi:type="dcterms:W3CDTF">2026-09-28T22:21:42Z</dcterms:created>
  <dcterms:modified xsi:type="dcterms:W3CDTF">2026-09-28T22:39:41Z</dcterms:modified>
</cp:coreProperties>
</file>